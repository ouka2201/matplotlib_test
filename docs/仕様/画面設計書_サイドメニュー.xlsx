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112356\Documents\"/>
    </mc:Choice>
  </mc:AlternateContent>
  <xr:revisionPtr revIDLastSave="0" documentId="13_ncr:1_{240B5BFB-84F4-4366-A27F-58AA3DE6770C}" xr6:coauthVersionLast="47" xr6:coauthVersionMax="47" xr10:uidLastSave="{00000000-0000-0000-0000-000000000000}"/>
  <bookViews>
    <workbookView xWindow="-120" yWindow="-120" windowWidth="29040" windowHeight="17520" tabRatio="907" activeTab="7" xr2:uid="{98AC34BC-CEA5-47F4-9DFA-D3694D8832D3}"/>
  </bookViews>
  <sheets>
    <sheet name="表紙" sheetId="12" r:id="rId1"/>
    <sheet name="更新履歴" sheetId="13" r:id="rId2"/>
    <sheet name="オンラインプロセスフロー" sheetId="8" r:id="rId3"/>
    <sheet name="画面レイアウト" sheetId="14" r:id="rId4"/>
    <sheet name="画面定義書" sheetId="9" r:id="rId5"/>
    <sheet name="入力項目チェック仕様説明書" sheetId="15" r:id="rId6"/>
    <sheet name="画面処理内容説明書" sheetId="10" r:id="rId7"/>
    <sheet name="(補足)切替時DB追加レコード" sheetId="11" r:id="rId8"/>
  </sheets>
  <definedNames>
    <definedName name="_a1">#REF!</definedName>
    <definedName name="_xlnm.Print_Area" localSheetId="2">オンラインプロセスフロー!$A$1:$AT$34</definedName>
    <definedName name="_xlnm.Print_Area" localSheetId="4">画面定義書!$A$1:$M$22</definedName>
    <definedName name="_xlnm.Print_Area" localSheetId="1">更新履歴!$A$1:$I$12</definedName>
    <definedName name="_xlnm.Print_Area" localSheetId="0">表紙!$A$1:$N$22</definedName>
    <definedName name="Print_Titl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I3" i="15" l="1"/>
  <c r="O1" i="10" l="1"/>
  <c r="P1" i="14"/>
  <c r="B4" i="12" l="1"/>
  <c r="B7" i="12"/>
  <c r="B18" i="12"/>
  <c r="B21" i="12"/>
  <c r="C1" i="13"/>
  <c r="A1" i="13"/>
  <c r="AK2" i="14"/>
  <c r="G1" i="13"/>
  <c r="K8" i="13" l="1"/>
</calcChain>
</file>

<file path=xl/sharedStrings.xml><?xml version="1.0" encoding="utf-8"?>
<sst xmlns="http://schemas.openxmlformats.org/spreadsheetml/2006/main" count="547" uniqueCount="211">
  <si>
    <t>サイドメニュー</t>
    <phoneticPr fontId="1"/>
  </si>
  <si>
    <t>各機能にアクセスするためのサイドメニュー</t>
    <rPh sb="0" eb="3">
      <t>カクキノウ</t>
    </rPh>
    <phoneticPr fontId="1"/>
  </si>
  <si>
    <t>画面イメージ</t>
    <rPh sb="0" eb="2">
      <t>ガメン</t>
    </rPh>
    <phoneticPr fontId="1"/>
  </si>
  <si>
    <t>【お知らせ】</t>
    <rPh sb="2" eb="3">
      <t>シ</t>
    </rPh>
    <phoneticPr fontId="1"/>
  </si>
  <si>
    <t>お知らせ画面に遷移する。</t>
    <rPh sb="1" eb="2">
      <t>シ</t>
    </rPh>
    <rPh sb="4" eb="6">
      <t>ガメン</t>
    </rPh>
    <rPh sb="7" eb="9">
      <t>センイ</t>
    </rPh>
    <phoneticPr fontId="1"/>
  </si>
  <si>
    <t>【マニュアル・同意書】</t>
    <rPh sb="7" eb="10">
      <t>ドウイショ</t>
    </rPh>
    <phoneticPr fontId="1"/>
  </si>
  <si>
    <t>ヘルプ画面に遷移する。</t>
    <rPh sb="3" eb="5">
      <t>ガメン</t>
    </rPh>
    <rPh sb="6" eb="8">
      <t>センイ</t>
    </rPh>
    <phoneticPr fontId="1"/>
  </si>
  <si>
    <t>【レポート作成・管理】</t>
    <rPh sb="5" eb="7">
      <t>サクセイ</t>
    </rPh>
    <rPh sb="8" eb="10">
      <t>カンリ</t>
    </rPh>
    <phoneticPr fontId="1"/>
  </si>
  <si>
    <t>企業詳細_CNレポート作成・管理画面に遷移する。</t>
    <rPh sb="0" eb="2">
      <t>キギョウ</t>
    </rPh>
    <rPh sb="2" eb="4">
      <t>ショウサイ</t>
    </rPh>
    <rPh sb="11" eb="13">
      <t>サクセイ</t>
    </rPh>
    <rPh sb="14" eb="16">
      <t>カンリ</t>
    </rPh>
    <rPh sb="16" eb="18">
      <t>ガメン</t>
    </rPh>
    <rPh sb="19" eb="21">
      <t>センイ</t>
    </rPh>
    <phoneticPr fontId="1"/>
  </si>
  <si>
    <t>【レポート一括ダウンロード】</t>
    <rPh sb="5" eb="7">
      <t>イッカツ</t>
    </rPh>
    <phoneticPr fontId="1"/>
  </si>
  <si>
    <t>担当者別見える化レポート検索画面に遷移する。</t>
    <rPh sb="0" eb="3">
      <t>タントウシャ</t>
    </rPh>
    <rPh sb="3" eb="4">
      <t>ベツ</t>
    </rPh>
    <rPh sb="4" eb="5">
      <t>ミ</t>
    </rPh>
    <rPh sb="7" eb="8">
      <t>カ</t>
    </rPh>
    <rPh sb="12" eb="14">
      <t>ケンサク</t>
    </rPh>
    <rPh sb="14" eb="16">
      <t>ガメン</t>
    </rPh>
    <rPh sb="17" eb="19">
      <t>センイ</t>
    </rPh>
    <phoneticPr fontId="1"/>
  </si>
  <si>
    <t>【エネルギーデータ集計】</t>
    <rPh sb="9" eb="11">
      <t>シュウケイ</t>
    </rPh>
    <phoneticPr fontId="1"/>
  </si>
  <si>
    <t>エネルギデータ集計画面に遷移する。</t>
    <rPh sb="7" eb="11">
      <t>シュウケイガメン</t>
    </rPh>
    <rPh sb="12" eb="14">
      <t>センイ</t>
    </rPh>
    <phoneticPr fontId="1"/>
  </si>
  <si>
    <t>【電力30分値登録】</t>
    <rPh sb="1" eb="3">
      <t>デンリョク</t>
    </rPh>
    <rPh sb="5" eb="6">
      <t>フン</t>
    </rPh>
    <rPh sb="6" eb="7">
      <t>アタイ</t>
    </rPh>
    <rPh sb="7" eb="9">
      <t>トウロク</t>
    </rPh>
    <phoneticPr fontId="1"/>
  </si>
  <si>
    <t>30分値データ登録画面に遷移する。</t>
    <rPh sb="12" eb="14">
      <t>センイ</t>
    </rPh>
    <phoneticPr fontId="1"/>
  </si>
  <si>
    <t>【利用組織マスタ登録・管理】</t>
    <rPh sb="1" eb="3">
      <t>リヨウ</t>
    </rPh>
    <rPh sb="3" eb="5">
      <t>ソシキ</t>
    </rPh>
    <rPh sb="8" eb="10">
      <t>トウロク</t>
    </rPh>
    <rPh sb="11" eb="13">
      <t>カンリ</t>
    </rPh>
    <phoneticPr fontId="1"/>
  </si>
  <si>
    <t>利用者組織マスタ管理画面に遷移する。</t>
    <rPh sb="13" eb="15">
      <t>センイ</t>
    </rPh>
    <phoneticPr fontId="1"/>
  </si>
  <si>
    <t>【お客様マスタ登録・管理】</t>
    <rPh sb="2" eb="4">
      <t>キャクサマ</t>
    </rPh>
    <rPh sb="7" eb="9">
      <t>トウロク</t>
    </rPh>
    <rPh sb="10" eb="12">
      <t>カンリ</t>
    </rPh>
    <phoneticPr fontId="1"/>
  </si>
  <si>
    <t>お客さま企業マスタ管理画面に遷移する。</t>
    <rPh sb="14" eb="16">
      <t>センイ</t>
    </rPh>
    <phoneticPr fontId="1"/>
  </si>
  <si>
    <t>【ユーザー登録・管理】</t>
    <rPh sb="5" eb="7">
      <t>トウロク</t>
    </rPh>
    <rPh sb="8" eb="10">
      <t>カンリ</t>
    </rPh>
    <phoneticPr fontId="1"/>
  </si>
  <si>
    <t>ユーザ情報管理/編集画面に遷移する。</t>
    <rPh sb="13" eb="15">
      <t>センイ</t>
    </rPh>
    <phoneticPr fontId="1"/>
  </si>
  <si>
    <t>【営業担当登録・管理】</t>
    <rPh sb="1" eb="5">
      <t>エイギョウタントウ</t>
    </rPh>
    <rPh sb="5" eb="7">
      <t>トウロク</t>
    </rPh>
    <rPh sb="8" eb="10">
      <t>カンリ</t>
    </rPh>
    <phoneticPr fontId="1"/>
  </si>
  <si>
    <t>担当者設定情報管理画面に遷移する。</t>
    <rPh sb="12" eb="14">
      <t>センイ</t>
    </rPh>
    <phoneticPr fontId="1"/>
  </si>
  <si>
    <t>画面項目No</t>
    <rPh sb="0" eb="2">
      <t>ガメン</t>
    </rPh>
    <rPh sb="2" eb="4">
      <t>コウモク</t>
    </rPh>
    <phoneticPr fontId="6"/>
  </si>
  <si>
    <t>画面項目名</t>
  </si>
  <si>
    <t>項目種類</t>
    <rPh sb="0" eb="2">
      <t>コウモク</t>
    </rPh>
    <rPh sb="2" eb="4">
      <t>シュルイ</t>
    </rPh>
    <phoneticPr fontId="6"/>
  </si>
  <si>
    <t>寄</t>
    <rPh sb="0" eb="1">
      <t>ヨ</t>
    </rPh>
    <phoneticPr fontId="6"/>
  </si>
  <si>
    <t>表示/入力条件</t>
    <rPh sb="0" eb="2">
      <t>ヒョウジ</t>
    </rPh>
    <rPh sb="3" eb="7">
      <t>ニュウリョクジョウケン</t>
    </rPh>
    <phoneticPr fontId="6"/>
  </si>
  <si>
    <t>イベント</t>
    <phoneticPr fontId="6"/>
  </si>
  <si>
    <t>初期表示</t>
    <rPh sb="0" eb="2">
      <t>ショキ</t>
    </rPh>
    <rPh sb="2" eb="4">
      <t>ヒョウジ</t>
    </rPh>
    <phoneticPr fontId="6"/>
  </si>
  <si>
    <t>項目マッピング</t>
    <rPh sb="0" eb="2">
      <t>コウモク</t>
    </rPh>
    <phoneticPr fontId="6"/>
  </si>
  <si>
    <t>キー</t>
    <phoneticPr fontId="6"/>
  </si>
  <si>
    <t>備考</t>
    <rPh sb="0" eb="2">
      <t>ビコウ</t>
    </rPh>
    <phoneticPr fontId="6"/>
  </si>
  <si>
    <t>せ</t>
    <phoneticPr fontId="6"/>
  </si>
  <si>
    <t>発生有無</t>
    <rPh sb="0" eb="2">
      <t>ハッセイ</t>
    </rPh>
    <rPh sb="2" eb="4">
      <t>ウム</t>
    </rPh>
    <phoneticPr fontId="6"/>
  </si>
  <si>
    <t>イベントNo</t>
    <phoneticPr fontId="6"/>
  </si>
  <si>
    <t>イベント名</t>
    <rPh sb="4" eb="5">
      <t>メイ</t>
    </rPh>
    <phoneticPr fontId="6"/>
  </si>
  <si>
    <t>設定値</t>
    <rPh sb="0" eb="2">
      <t>セッテイ</t>
    </rPh>
    <rPh sb="2" eb="3">
      <t>チ</t>
    </rPh>
    <phoneticPr fontId="6"/>
  </si>
  <si>
    <t>TBL・遷移元</t>
    <rPh sb="4" eb="6">
      <t>センイ</t>
    </rPh>
    <rPh sb="6" eb="7">
      <t>モト</t>
    </rPh>
    <phoneticPr fontId="6"/>
  </si>
  <si>
    <t>項目</t>
    <rPh sb="0" eb="2">
      <t>コウモク</t>
    </rPh>
    <phoneticPr fontId="6"/>
  </si>
  <si>
    <t>＜サイドバー＞</t>
    <phoneticPr fontId="1"/>
  </si>
  <si>
    <t>インフォメーションラベル</t>
    <phoneticPr fontId="1"/>
  </si>
  <si>
    <t>ラベル</t>
    <phoneticPr fontId="1"/>
  </si>
  <si>
    <t>-</t>
    <phoneticPr fontId="1"/>
  </si>
  <si>
    <t>左</t>
    <rPh sb="0" eb="1">
      <t>ヒダリ</t>
    </rPh>
    <phoneticPr fontId="1"/>
  </si>
  <si>
    <t>インフォメーション</t>
    <phoneticPr fontId="1"/>
  </si>
  <si>
    <t>お知らせ</t>
    <rPh sb="1" eb="2">
      <t>シ</t>
    </rPh>
    <phoneticPr fontId="1"/>
  </si>
  <si>
    <t>ボタン</t>
    <phoneticPr fontId="1"/>
  </si>
  <si>
    <t>イベントNo1に記載</t>
    <rPh sb="8" eb="10">
      <t>キサイ</t>
    </rPh>
    <phoneticPr fontId="1"/>
  </si>
  <si>
    <t>マニュアル・同意書</t>
    <rPh sb="6" eb="9">
      <t>ドウイショ</t>
    </rPh>
    <phoneticPr fontId="1"/>
  </si>
  <si>
    <t>基本機能ラベル</t>
    <rPh sb="0" eb="4">
      <t>キホンキノウ</t>
    </rPh>
    <phoneticPr fontId="1"/>
  </si>
  <si>
    <t>ラベル</t>
  </si>
  <si>
    <t>基本機能</t>
  </si>
  <si>
    <t>レポート作成・管理</t>
    <rPh sb="4" eb="6">
      <t>サクセイ</t>
    </rPh>
    <rPh sb="7" eb="9">
      <t>カンリ</t>
    </rPh>
    <phoneticPr fontId="1"/>
  </si>
  <si>
    <t>レポート一括ダウンロード</t>
    <rPh sb="4" eb="6">
      <t>イッカツ</t>
    </rPh>
    <phoneticPr fontId="1"/>
  </si>
  <si>
    <t>エネルギデータ集計</t>
    <rPh sb="7" eb="9">
      <t>シュウケイ</t>
    </rPh>
    <phoneticPr fontId="1"/>
  </si>
  <si>
    <t>電力30分値ラベル</t>
    <rPh sb="0" eb="2">
      <t>デンリョク</t>
    </rPh>
    <rPh sb="4" eb="5">
      <t>フン</t>
    </rPh>
    <rPh sb="5" eb="6">
      <t>アタイ</t>
    </rPh>
    <phoneticPr fontId="1"/>
  </si>
  <si>
    <t>電力30分値</t>
  </si>
  <si>
    <t>電力30分値登録</t>
    <rPh sb="0" eb="2">
      <t>デンリョク</t>
    </rPh>
    <rPh sb="4" eb="5">
      <t>フン</t>
    </rPh>
    <rPh sb="5" eb="6">
      <t>アタイ</t>
    </rPh>
    <rPh sb="6" eb="8">
      <t>トウロク</t>
    </rPh>
    <phoneticPr fontId="1"/>
  </si>
  <si>
    <t>マスタラベル</t>
    <phoneticPr fontId="1"/>
  </si>
  <si>
    <t>マスタ</t>
  </si>
  <si>
    <t>利用組織マスタ登録・管理</t>
    <rPh sb="0" eb="4">
      <t>リヨウソシキ</t>
    </rPh>
    <rPh sb="7" eb="9">
      <t>トウロク</t>
    </rPh>
    <rPh sb="10" eb="12">
      <t>カンリ</t>
    </rPh>
    <phoneticPr fontId="1"/>
  </si>
  <si>
    <t>ボタン</t>
  </si>
  <si>
    <t>お客様マスタ登録・管理</t>
    <rPh sb="1" eb="3">
      <t>キャクサマ</t>
    </rPh>
    <rPh sb="6" eb="8">
      <t>トウロク</t>
    </rPh>
    <rPh sb="9" eb="11">
      <t>カンリ</t>
    </rPh>
    <phoneticPr fontId="1"/>
  </si>
  <si>
    <t>ユーザー・営業担当ラベル</t>
    <rPh sb="5" eb="7">
      <t>エイギョウ</t>
    </rPh>
    <rPh sb="7" eb="9">
      <t>タントウ</t>
    </rPh>
    <phoneticPr fontId="1"/>
  </si>
  <si>
    <t>ユーザー・営業担当</t>
  </si>
  <si>
    <t>ユーザー登録・管理</t>
    <rPh sb="4" eb="6">
      <t>トウロク</t>
    </rPh>
    <rPh sb="7" eb="9">
      <t>カンリ</t>
    </rPh>
    <phoneticPr fontId="1"/>
  </si>
  <si>
    <t>営業担当登録・管理</t>
    <rPh sb="0" eb="4">
      <t>エイギョウタントウ</t>
    </rPh>
    <rPh sb="4" eb="6">
      <t>トウロク</t>
    </rPh>
    <rPh sb="7" eb="9">
      <t>カンリ</t>
    </rPh>
    <phoneticPr fontId="1"/>
  </si>
  <si>
    <t>No</t>
    <phoneticPr fontId="6"/>
  </si>
  <si>
    <t>契機</t>
    <rPh sb="0" eb="2">
      <t>ケイキ</t>
    </rPh>
    <phoneticPr fontId="6"/>
  </si>
  <si>
    <t>概要</t>
    <rPh sb="0" eb="2">
      <t>ガイヨウ</t>
    </rPh>
    <phoneticPr fontId="6"/>
  </si>
  <si>
    <t>初期表示</t>
    <rPh sb="0" eb="4">
      <t>ショキヒョウジ</t>
    </rPh>
    <phoneticPr fontId="6"/>
  </si>
  <si>
    <t>画面初期表示</t>
    <rPh sb="0" eb="2">
      <t>ガメン</t>
    </rPh>
    <rPh sb="2" eb="4">
      <t>ショキ</t>
    </rPh>
    <rPh sb="4" eb="6">
      <t>ヒョウジ</t>
    </rPh>
    <phoneticPr fontId="6"/>
  </si>
  <si>
    <t>初期表示時に各種情報を取得してサイドバーを表示する</t>
    <rPh sb="0" eb="5">
      <t>ショキヒョウジジ</t>
    </rPh>
    <rPh sb="6" eb="10">
      <t>カクシュジョウホウ</t>
    </rPh>
    <rPh sb="11" eb="13">
      <t>シュトク</t>
    </rPh>
    <rPh sb="21" eb="23">
      <t>ヒョウジ</t>
    </rPh>
    <phoneticPr fontId="6"/>
  </si>
  <si>
    <t>１．以下JSONをパラメータとして受け取る</t>
    <rPh sb="2" eb="4">
      <t>イカ</t>
    </rPh>
    <rPh sb="17" eb="18">
      <t>ウ</t>
    </rPh>
    <rPh sb="19" eb="20">
      <t>ト</t>
    </rPh>
    <phoneticPr fontId="6"/>
  </si>
  <si>
    <t>値</t>
    <rPh sb="0" eb="1">
      <t>アタイ</t>
    </rPh>
    <phoneticPr fontId="6"/>
  </si>
  <si>
    <t>AUTHORITY_CODE_MAP</t>
    <phoneticPr fontId="1"/>
  </si>
  <si>
    <t>セッション情報.権限コードマップ</t>
    <rPh sb="5" eb="7">
      <t>ジョウホウ</t>
    </rPh>
    <rPh sb="8" eb="10">
      <t>ケンゲン</t>
    </rPh>
    <phoneticPr fontId="1"/>
  </si>
  <si>
    <t>ログイン時に組織権限情報から取得したデータをセッションに保持</t>
  </si>
  <si>
    <t>２．サイドメニュー表示</t>
    <rPh sb="9" eb="11">
      <t>ヒョウジ</t>
    </rPh>
    <phoneticPr fontId="6"/>
  </si>
  <si>
    <t>利用権限がある画面へのリンクを表示する</t>
    <rPh sb="0" eb="4">
      <t>リヨウケンゲン</t>
    </rPh>
    <rPh sb="7" eb="9">
      <t>ガメン</t>
    </rPh>
    <rPh sb="15" eb="17">
      <t>ヒョウジ</t>
    </rPh>
    <phoneticPr fontId="1"/>
  </si>
  <si>
    <t>画面名</t>
    <rPh sb="0" eb="2">
      <t>ガメン</t>
    </rPh>
    <rPh sb="2" eb="3">
      <t>メイ</t>
    </rPh>
    <phoneticPr fontId="1"/>
  </si>
  <si>
    <t>権限ID</t>
    <rPh sb="0" eb="2">
      <t>ケンゲン</t>
    </rPh>
    <phoneticPr fontId="1"/>
  </si>
  <si>
    <t>EP管理者</t>
  </si>
  <si>
    <t>EP担当者</t>
    <rPh sb="2" eb="5">
      <t>タントウシャ</t>
    </rPh>
    <phoneticPr fontId="1"/>
  </si>
  <si>
    <t>本店管理者</t>
    <rPh sb="0" eb="2">
      <t>ホンテン</t>
    </rPh>
    <rPh sb="2" eb="5">
      <t>カンリシャ</t>
    </rPh>
    <phoneticPr fontId="1"/>
  </si>
  <si>
    <t>支店管理者</t>
    <rPh sb="0" eb="2">
      <t>シテン</t>
    </rPh>
    <rPh sb="2" eb="5">
      <t>カンリシャ</t>
    </rPh>
    <phoneticPr fontId="1"/>
  </si>
  <si>
    <t>支店担当者</t>
    <rPh sb="0" eb="2">
      <t>シテン</t>
    </rPh>
    <rPh sb="2" eb="5">
      <t>タントウシャ</t>
    </rPh>
    <phoneticPr fontId="1"/>
  </si>
  <si>
    <t>REP管理者</t>
    <rPh sb="3" eb="6">
      <t>カンリシャ</t>
    </rPh>
    <phoneticPr fontId="1"/>
  </si>
  <si>
    <t>REP担当者</t>
    <rPh sb="3" eb="6">
      <t>タントウシャ</t>
    </rPh>
    <phoneticPr fontId="1"/>
  </si>
  <si>
    <t>TCS管理者</t>
  </si>
  <si>
    <t>TCS担当者</t>
  </si>
  <si>
    <t>可視化事業者</t>
    <rPh sb="0" eb="3">
      <t>カシカ</t>
    </rPh>
    <rPh sb="3" eb="6">
      <t>ジギョウシャ</t>
    </rPh>
    <phoneticPr fontId="1"/>
  </si>
  <si>
    <t>AB</t>
    <phoneticPr fontId="1"/>
  </si>
  <si>
    <t>〇</t>
    <phoneticPr fontId="1"/>
  </si>
  <si>
    <t>A7</t>
    <phoneticPr fontId="1"/>
  </si>
  <si>
    <t>×</t>
    <phoneticPr fontId="1"/>
  </si>
  <si>
    <t>A8</t>
    <phoneticPr fontId="1"/>
  </si>
  <si>
    <t>B5</t>
    <phoneticPr fontId="1"/>
  </si>
  <si>
    <t>D1</t>
    <phoneticPr fontId="1"/>
  </si>
  <si>
    <t>B1</t>
    <phoneticPr fontId="1"/>
  </si>
  <si>
    <t>C1</t>
    <phoneticPr fontId="1"/>
  </si>
  <si>
    <t>C3</t>
    <phoneticPr fontId="1"/>
  </si>
  <si>
    <t>C4</t>
  </si>
  <si>
    <t>C2</t>
    <phoneticPr fontId="1"/>
  </si>
  <si>
    <t>org_type_code</t>
  </si>
  <si>
    <t>org_type</t>
  </si>
  <si>
    <t>authority_id</t>
  </si>
  <si>
    <t>screen_name</t>
  </si>
  <si>
    <t>user_role</t>
  </si>
  <si>
    <t>authority_code</t>
  </si>
  <si>
    <t>delete_flg</t>
  </si>
  <si>
    <t>01</t>
  </si>
  <si>
    <t>EP</t>
  </si>
  <si>
    <t>0</t>
  </si>
  <si>
    <t>2</t>
  </si>
  <si>
    <t>1</t>
  </si>
  <si>
    <t>0</t>
    <phoneticPr fontId="1"/>
  </si>
  <si>
    <t>C4</t>
    <phoneticPr fontId="1"/>
  </si>
  <si>
    <t>02</t>
  </si>
  <si>
    <t>地銀・本店</t>
  </si>
  <si>
    <t>9</t>
  </si>
  <si>
    <t>2</t>
    <phoneticPr fontId="1"/>
  </si>
  <si>
    <t>03</t>
  </si>
  <si>
    <t>地銀・支店</t>
  </si>
  <si>
    <t>04</t>
  </si>
  <si>
    <t>REP</t>
  </si>
  <si>
    <t>05</t>
  </si>
  <si>
    <t>TCS</t>
  </si>
  <si>
    <t>06</t>
  </si>
  <si>
    <t>可視化事業者</t>
  </si>
  <si>
    <t>オンラインプロセスフロー</t>
    <phoneticPr fontId="6"/>
  </si>
  <si>
    <t>システム</t>
    <phoneticPr fontId="6"/>
  </si>
  <si>
    <t>フォーマットNo.</t>
    <phoneticPr fontId="6"/>
  </si>
  <si>
    <t>業務プロセスID</t>
    <rPh sb="0" eb="2">
      <t>ギョウム</t>
    </rPh>
    <phoneticPr fontId="21"/>
  </si>
  <si>
    <t>業務プロセス名</t>
    <rPh sb="0" eb="2">
      <t>ギョウム</t>
    </rPh>
    <rPh sb="6" eb="7">
      <t>メイ</t>
    </rPh>
    <phoneticPr fontId="21"/>
  </si>
  <si>
    <t>備　考</t>
    <rPh sb="0" eb="1">
      <t>ソナエ</t>
    </rPh>
    <rPh sb="2" eb="3">
      <t>コウ</t>
    </rPh>
    <phoneticPr fontId="21"/>
  </si>
  <si>
    <t>更新日</t>
    <rPh sb="0" eb="3">
      <t>コウシンビ</t>
    </rPh>
    <phoneticPr fontId="6"/>
  </si>
  <si>
    <t>名</t>
    <rPh sb="0" eb="1">
      <t>メイ</t>
    </rPh>
    <phoneticPr fontId="6"/>
  </si>
  <si>
    <t>ID</t>
    <phoneticPr fontId="6"/>
  </si>
  <si>
    <t>仕様書名</t>
    <rPh sb="0" eb="3">
      <t>シヨウショ</t>
    </rPh>
    <rPh sb="3" eb="4">
      <t>メイ</t>
    </rPh>
    <phoneticPr fontId="6"/>
  </si>
  <si>
    <t>表紙中段</t>
    <rPh sb="0" eb="2">
      <t>ヒョウシ</t>
    </rPh>
    <rPh sb="2" eb="4">
      <t>チュウダン</t>
    </rPh>
    <phoneticPr fontId="6"/>
  </si>
  <si>
    <t>表紙上段</t>
    <rPh sb="0" eb="2">
      <t>ヒョウシ</t>
    </rPh>
    <rPh sb="2" eb="4">
      <t>ジョウダン</t>
    </rPh>
    <phoneticPr fontId="6"/>
  </si>
  <si>
    <t>－</t>
    <phoneticPr fontId="6"/>
  </si>
  <si>
    <t>初版作成</t>
    <phoneticPr fontId="6"/>
  </si>
  <si>
    <t>1.0</t>
    <phoneticPr fontId="6"/>
  </si>
  <si>
    <t>実装チケットID</t>
    <rPh sb="0" eb="2">
      <t>ジッソウ</t>
    </rPh>
    <phoneticPr fontId="6"/>
  </si>
  <si>
    <t>対象シート</t>
    <rPh sb="0" eb="2">
      <t>タイショウ</t>
    </rPh>
    <phoneticPr fontId="6"/>
  </si>
  <si>
    <t>更新内容</t>
    <rPh sb="2" eb="4">
      <t>ナイヨウ</t>
    </rPh>
    <phoneticPr fontId="6"/>
  </si>
  <si>
    <t>Ver.</t>
    <phoneticPr fontId="6"/>
  </si>
  <si>
    <t>[画面設計]</t>
    <rPh sb="1" eb="3">
      <t>ガメン</t>
    </rPh>
    <rPh sb="3" eb="5">
      <t>セッケイ</t>
    </rPh>
    <phoneticPr fontId="6"/>
  </si>
  <si>
    <t>サイドメニュー</t>
    <phoneticPr fontId="27"/>
  </si>
  <si>
    <t>ー</t>
    <phoneticPr fontId="27"/>
  </si>
  <si>
    <t>下田</t>
    <rPh sb="0" eb="2">
      <t>シモダ</t>
    </rPh>
    <phoneticPr fontId="1"/>
  </si>
  <si>
    <t>下田</t>
    <rPh sb="0" eb="2">
      <t>シモダ</t>
    </rPh>
    <phoneticPr fontId="27"/>
  </si>
  <si>
    <t>CNレポート作成アプリ「LecMoc」</t>
  </si>
  <si>
    <t>画面レイアウト</t>
    <phoneticPr fontId="6"/>
  </si>
  <si>
    <t>SS1-2-02</t>
  </si>
  <si>
    <t>作成日</t>
    <rPh sb="0" eb="2">
      <t>サクセイ</t>
    </rPh>
    <rPh sb="2" eb="3">
      <t>ビ</t>
    </rPh>
    <phoneticPr fontId="6"/>
  </si>
  <si>
    <t>作成者</t>
    <rPh sb="0" eb="2">
      <t>サクセイ</t>
    </rPh>
    <phoneticPr fontId="6"/>
  </si>
  <si>
    <t>更新者</t>
    <rPh sb="0" eb="3">
      <t>コウシンシャ</t>
    </rPh>
    <phoneticPr fontId="6"/>
  </si>
  <si>
    <t>基本設計作成日</t>
    <rPh sb="0" eb="4">
      <t>キホンセッケイ</t>
    </rPh>
    <rPh sb="4" eb="7">
      <t>サクセイビ</t>
    </rPh>
    <phoneticPr fontId="1"/>
  </si>
  <si>
    <t>2026.12.21</t>
    <phoneticPr fontId="1"/>
  </si>
  <si>
    <t xml:space="preserve">    </t>
    <phoneticPr fontId="6"/>
  </si>
  <si>
    <t xml:space="preserve"> </t>
    <phoneticPr fontId="6"/>
  </si>
  <si>
    <t xml:space="preserve">  </t>
    <phoneticPr fontId="6"/>
  </si>
  <si>
    <t>組織権限情報TBL</t>
    <phoneticPr fontId="1"/>
  </si>
  <si>
    <t>画面定義書</t>
    <rPh sb="0" eb="2">
      <t>ガメン</t>
    </rPh>
    <rPh sb="2" eb="5">
      <t>テイギショ</t>
    </rPh>
    <phoneticPr fontId="6"/>
  </si>
  <si>
    <t>CNレポート作成アプリ「LecMoc」</t>
    <phoneticPr fontId="1"/>
  </si>
  <si>
    <t>編集仕様</t>
    <rPh sb="0" eb="2">
      <t>ヘンシュウ</t>
    </rPh>
    <rPh sb="2" eb="4">
      <t>シヨウ</t>
    </rPh>
    <phoneticPr fontId="1"/>
  </si>
  <si>
    <t>SS1-2-04</t>
    <phoneticPr fontId="6"/>
  </si>
  <si>
    <t>画面処理内容説明書</t>
    <rPh sb="0" eb="2">
      <t>ガメン</t>
    </rPh>
    <rPh sb="2" eb="4">
      <t>ショリ</t>
    </rPh>
    <rPh sb="4" eb="6">
      <t>ナイヨウ</t>
    </rPh>
    <rPh sb="6" eb="9">
      <t>セツメイショ</t>
    </rPh>
    <phoneticPr fontId="6"/>
  </si>
  <si>
    <t>SS1-2-05</t>
    <phoneticPr fontId="6"/>
  </si>
  <si>
    <t>入力項目チェック仕様説明書</t>
    <rPh sb="0" eb="2">
      <t>ニュウリョク</t>
    </rPh>
    <rPh sb="2" eb="4">
      <t>コウモク</t>
    </rPh>
    <rPh sb="8" eb="10">
      <t>シヨウ</t>
    </rPh>
    <rPh sb="10" eb="13">
      <t>セツメイショ</t>
    </rPh>
    <phoneticPr fontId="6"/>
  </si>
  <si>
    <t>SS1-2-16</t>
    <phoneticPr fontId="6"/>
  </si>
  <si>
    <t>画面ID</t>
    <phoneticPr fontId="1"/>
  </si>
  <si>
    <t>画面名</t>
    <phoneticPr fontId="1"/>
  </si>
  <si>
    <t>2026.12.21</t>
  </si>
  <si>
    <t>項番</t>
    <phoneticPr fontId="6"/>
  </si>
  <si>
    <t>入力項目名</t>
    <rPh sb="0" eb="2">
      <t>ニュウリョク</t>
    </rPh>
    <rPh sb="2" eb="4">
      <t>コウモク</t>
    </rPh>
    <rPh sb="4" eb="5">
      <t>メイ</t>
    </rPh>
    <phoneticPr fontId="6"/>
  </si>
  <si>
    <t>単項目チェック</t>
    <rPh sb="0" eb="1">
      <t>タン</t>
    </rPh>
    <rPh sb="1" eb="3">
      <t>コウモク</t>
    </rPh>
    <phoneticPr fontId="6"/>
  </si>
  <si>
    <t>その他チェック</t>
    <rPh sb="2" eb="3">
      <t>タ</t>
    </rPh>
    <phoneticPr fontId="6"/>
  </si>
  <si>
    <t>必須区分</t>
    <rPh sb="0" eb="2">
      <t>ヒッス</t>
    </rPh>
    <rPh sb="2" eb="4">
      <t>クブン</t>
    </rPh>
    <phoneticPr fontId="6"/>
  </si>
  <si>
    <t>データ型</t>
    <rPh sb="3" eb="4">
      <t>ガタ</t>
    </rPh>
    <phoneticPr fontId="30"/>
  </si>
  <si>
    <t>桁数</t>
    <rPh sb="0" eb="2">
      <t>ケタスウ</t>
    </rPh>
    <phoneticPr fontId="30"/>
  </si>
  <si>
    <t>小数点以下
桁数</t>
    <rPh sb="0" eb="3">
      <t>ショウスウテン</t>
    </rPh>
    <rPh sb="3" eb="5">
      <t>イカ</t>
    </rPh>
    <rPh sb="6" eb="8">
      <t>ケタスウ</t>
    </rPh>
    <phoneticPr fontId="30"/>
  </si>
  <si>
    <t>範囲</t>
    <rPh sb="0" eb="2">
      <t>ハンイ</t>
    </rPh>
    <phoneticPr fontId="6"/>
  </si>
  <si>
    <t>許可文字種フラグ</t>
    <rPh sb="0" eb="2">
      <t>キョカ</t>
    </rPh>
    <rPh sb="2" eb="4">
      <t>モジ</t>
    </rPh>
    <rPh sb="4" eb="5">
      <t>シュ</t>
    </rPh>
    <phoneticPr fontId="30"/>
  </si>
  <si>
    <t>メッセージ-ID</t>
    <phoneticPr fontId="6"/>
  </si>
  <si>
    <t>エラー種別
区分</t>
    <rPh sb="3" eb="5">
      <t>シュベツ</t>
    </rPh>
    <rPh sb="6" eb="8">
      <t>クブン</t>
    </rPh>
    <phoneticPr fontId="6"/>
  </si>
  <si>
    <t>チェック内容
(項目関連チェック,マスタチェック,データ整合性チェック等)</t>
    <phoneticPr fontId="6"/>
  </si>
  <si>
    <t>最小値</t>
    <rPh sb="0" eb="3">
      <t>サイショウチ</t>
    </rPh>
    <phoneticPr fontId="6"/>
  </si>
  <si>
    <t>最大値</t>
    <rPh sb="0" eb="3">
      <t>サイダイチ</t>
    </rPh>
    <phoneticPr fontId="6"/>
  </si>
  <si>
    <t>半角の場合</t>
    <rPh sb="0" eb="2">
      <t>ハンカク</t>
    </rPh>
    <rPh sb="3" eb="5">
      <t>バアイ</t>
    </rPh>
    <phoneticPr fontId="30"/>
  </si>
  <si>
    <t>全角の場合</t>
    <rPh sb="0" eb="2">
      <t>ゼンカク</t>
    </rPh>
    <rPh sb="3" eb="5">
      <t>バアイ</t>
    </rPh>
    <phoneticPr fontId="30"/>
  </si>
  <si>
    <t>数値</t>
    <rPh sb="0" eb="2">
      <t>スウチ</t>
    </rPh>
    <phoneticPr fontId="30"/>
  </si>
  <si>
    <t>英字
小</t>
    <rPh sb="0" eb="1">
      <t>エイ</t>
    </rPh>
    <rPh sb="1" eb="2">
      <t>ジ</t>
    </rPh>
    <rPh sb="3" eb="4">
      <t>ショウ</t>
    </rPh>
    <phoneticPr fontId="30"/>
  </si>
  <si>
    <t>英字
大</t>
    <rPh sb="0" eb="1">
      <t>エイ</t>
    </rPh>
    <rPh sb="1" eb="2">
      <t>ジ</t>
    </rPh>
    <rPh sb="3" eb="4">
      <t>ダイ</t>
    </rPh>
    <phoneticPr fontId="30"/>
  </si>
  <si>
    <t>カナ</t>
    <phoneticPr fontId="30"/>
  </si>
  <si>
    <t>空白</t>
    <rPh sb="0" eb="2">
      <t>クウハク</t>
    </rPh>
    <phoneticPr fontId="30"/>
  </si>
  <si>
    <t>記号</t>
    <rPh sb="0" eb="2">
      <t>キゴウ</t>
    </rPh>
    <phoneticPr fontId="30"/>
  </si>
  <si>
    <t>改行</t>
    <rPh sb="0" eb="2">
      <t>カイギョウ</t>
    </rPh>
    <phoneticPr fontId="30"/>
  </si>
  <si>
    <t>かな</t>
    <phoneticPr fontId="30"/>
  </si>
  <si>
    <t>漢字</t>
    <rPh sb="0" eb="2">
      <t>カンジ</t>
    </rPh>
    <phoneticPr fontId="30"/>
  </si>
  <si>
    <t>外字</t>
    <rPh sb="0" eb="2">
      <t>ガイジ</t>
    </rPh>
    <phoneticPr fontId="30"/>
  </si>
  <si>
    <t>KS2-4-04
SS2-1-01</t>
    <phoneticPr fontId="6"/>
  </si>
  <si>
    <t>-</t>
  </si>
  <si>
    <t>共通機能</t>
    <phoneticPr fontId="1"/>
  </si>
  <si>
    <t>追加分（insert）</t>
    <rPh sb="0" eb="2">
      <t>ツイカ</t>
    </rPh>
    <rPh sb="2" eb="3">
      <t>ブン</t>
    </rPh>
    <phoneticPr fontId="1"/>
  </si>
  <si>
    <t>更新分（update）</t>
    <rPh sb="0" eb="2">
      <t>コウシン</t>
    </rPh>
    <rPh sb="2" eb="3">
      <t>ブン</t>
    </rPh>
    <phoneticPr fontId="1"/>
  </si>
  <si>
    <t>※存在しない場合は追加</t>
    <rPh sb="1" eb="3">
      <t>ソンザイ</t>
    </rPh>
    <rPh sb="6" eb="8">
      <t>バアイ</t>
    </rPh>
    <rPh sb="9" eb="11">
      <t>ツイカ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</si>
</sst>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0"/>
    <numFmt numFmtId="177" formatCode="yyyy&quot;年&quot;mm&quot;月&quot;dd&quot;日&quot;"/>
    <numFmt numFmtId="178" formatCode="yyyy/mm/dd"/>
    <numFmt numFmtId="179" formatCode="0.0_ "/>
  </numFmts>
  <fonts count="3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0"/>
      <color theme="1"/>
      <name val="ＭＳ ゴシック"/>
      <family val="3"/>
      <charset val="128"/>
    </font>
    <font>
      <sz val="11"/>
      <name val="ＭＳ Ｐゴシック"/>
      <family val="3"/>
      <charset val="128"/>
    </font>
    <font>
      <b/>
      <sz val="10"/>
      <name val="Meiryo UI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9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sz val="10"/>
      <name val="Meiryo UI"/>
      <family val="3"/>
      <charset val="128"/>
    </font>
    <font>
      <sz val="9"/>
      <color rgb="FFFF0000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rgb="FF242424"/>
      <name val="Meiryo UI"/>
      <family val="3"/>
      <charset val="128"/>
    </font>
    <font>
      <sz val="10"/>
      <color rgb="FFFF0000"/>
      <name val="Meiryo UI"/>
      <family val="3"/>
      <charset val="128"/>
    </font>
    <font>
      <b/>
      <sz val="11"/>
      <color rgb="FF00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9"/>
      <name val="ＭＳ ゴシック"/>
      <family val="3"/>
      <charset val="128"/>
    </font>
    <font>
      <b/>
      <sz val="8"/>
      <name val="ＭＳ ゴシック"/>
      <family val="3"/>
      <charset val="128"/>
    </font>
    <font>
      <b/>
      <u/>
      <sz val="14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8"/>
      <name val="ＭＳ ゴシック"/>
      <family val="3"/>
      <charset val="128"/>
    </font>
    <font>
      <sz val="20"/>
      <name val="Meiryo UI"/>
      <family val="3"/>
      <charset val="128"/>
    </font>
    <font>
      <sz val="28"/>
      <name val="Meiryo UI"/>
      <family val="3"/>
      <charset val="128"/>
    </font>
    <font>
      <sz val="11"/>
      <name val="Meiryo UI"/>
      <family val="3"/>
      <charset val="128"/>
    </font>
    <font>
      <sz val="11"/>
      <color indexed="8"/>
      <name val="Meiryo UI"/>
      <family val="3"/>
      <charset val="128"/>
    </font>
    <font>
      <sz val="10"/>
      <color theme="1"/>
      <name val="Meiryo UI"/>
      <family val="3"/>
      <charset val="128"/>
    </font>
    <font>
      <sz val="6"/>
      <name val="游ゴシック"/>
      <family val="3"/>
      <charset val="128"/>
      <scheme val="minor"/>
    </font>
    <font>
      <sz val="9"/>
      <name val="Meiryo UI"/>
      <family val="3"/>
      <charset val="128"/>
    </font>
    <font>
      <b/>
      <sz val="9"/>
      <name val="ＭＳ ゴシック"/>
      <family val="3"/>
      <charset val="128"/>
    </font>
    <font>
      <sz val="6"/>
      <name val="明朝"/>
      <family val="1"/>
      <charset val="128"/>
    </font>
    <font>
      <b/>
      <sz val="8"/>
      <name val="Meiryo UI"/>
      <family val="3"/>
      <charset val="128"/>
    </font>
    <font>
      <b/>
      <u/>
      <sz val="14"/>
      <name val="Meiryo UI"/>
      <family val="3"/>
      <charset val="128"/>
    </font>
    <font>
      <b/>
      <sz val="11"/>
      <name val="Meiryo UI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87E7AD"/>
        <bgColor indexed="64"/>
      </patternFill>
    </fill>
    <fill>
      <patternFill patternType="solid">
        <fgColor indexed="22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>
      <alignment vertical="center"/>
    </xf>
    <xf numFmtId="0" fontId="2" fillId="0" borderId="0"/>
    <xf numFmtId="0" fontId="3" fillId="0" borderId="0">
      <alignment vertical="center"/>
    </xf>
    <xf numFmtId="0" fontId="4" fillId="0" borderId="0"/>
    <xf numFmtId="0" fontId="4" fillId="0" borderId="0"/>
    <xf numFmtId="0" fontId="20" fillId="0" borderId="0">
      <alignment vertical="center"/>
    </xf>
    <xf numFmtId="0" fontId="4" fillId="0" borderId="0"/>
    <xf numFmtId="0" fontId="4" fillId="0" borderId="0"/>
    <xf numFmtId="0" fontId="4" fillId="0" borderId="0"/>
  </cellStyleXfs>
  <cellXfs count="318">
    <xf numFmtId="0" fontId="0" fillId="0" borderId="0" xfId="0">
      <alignment vertical="center"/>
    </xf>
    <xf numFmtId="0" fontId="7" fillId="0" borderId="0" xfId="0" applyFont="1">
      <alignment vertical="center"/>
    </xf>
    <xf numFmtId="0" fontId="7" fillId="0" borderId="7" xfId="0" applyFont="1" applyBorder="1">
      <alignment vertical="center"/>
    </xf>
    <xf numFmtId="0" fontId="7" fillId="0" borderId="9" xfId="0" applyFont="1" applyBorder="1">
      <alignment vertical="center"/>
    </xf>
    <xf numFmtId="0" fontId="7" fillId="0" borderId="8" xfId="0" applyFont="1" applyBorder="1">
      <alignment vertical="center"/>
    </xf>
    <xf numFmtId="0" fontId="7" fillId="0" borderId="13" xfId="0" applyFont="1" applyBorder="1">
      <alignment vertical="center"/>
    </xf>
    <xf numFmtId="0" fontId="7" fillId="0" borderId="10" xfId="0" applyFont="1" applyBorder="1">
      <alignment vertical="center"/>
    </xf>
    <xf numFmtId="0" fontId="7" fillId="0" borderId="14" xfId="0" applyFont="1" applyBorder="1">
      <alignment vertical="center"/>
    </xf>
    <xf numFmtId="0" fontId="7" fillId="0" borderId="2" xfId="0" applyFont="1" applyBorder="1">
      <alignment vertical="center"/>
    </xf>
    <xf numFmtId="0" fontId="7" fillId="0" borderId="12" xfId="0" applyFont="1" applyBorder="1">
      <alignment vertical="center"/>
    </xf>
    <xf numFmtId="0" fontId="10" fillId="0" borderId="0" xfId="2" applyFont="1">
      <alignment vertical="center"/>
    </xf>
    <xf numFmtId="0" fontId="10" fillId="0" borderId="5" xfId="2" applyFont="1" applyBorder="1">
      <alignment vertical="center"/>
    </xf>
    <xf numFmtId="0" fontId="10" fillId="0" borderId="4" xfId="2" applyFont="1" applyBorder="1">
      <alignment vertical="center"/>
    </xf>
    <xf numFmtId="0" fontId="10" fillId="0" borderId="3" xfId="2" applyFont="1" applyBorder="1">
      <alignment vertical="center"/>
    </xf>
    <xf numFmtId="0" fontId="10" fillId="0" borderId="12" xfId="2" applyFont="1" applyBorder="1">
      <alignment vertical="center"/>
    </xf>
    <xf numFmtId="0" fontId="10" fillId="2" borderId="7" xfId="2" applyFont="1" applyFill="1" applyBorder="1">
      <alignment vertical="center"/>
    </xf>
    <xf numFmtId="0" fontId="10" fillId="2" borderId="9" xfId="2" applyFont="1" applyFill="1" applyBorder="1">
      <alignment vertical="center"/>
    </xf>
    <xf numFmtId="0" fontId="10" fillId="2" borderId="8" xfId="2" applyFont="1" applyFill="1" applyBorder="1">
      <alignment vertical="center"/>
    </xf>
    <xf numFmtId="0" fontId="10" fillId="0" borderId="2" xfId="2" applyFont="1" applyBorder="1">
      <alignment vertical="center"/>
    </xf>
    <xf numFmtId="0" fontId="0" fillId="0" borderId="10" xfId="0" applyBorder="1">
      <alignment vertical="center"/>
    </xf>
    <xf numFmtId="0" fontId="7" fillId="2" borderId="5" xfId="0" applyFont="1" applyFill="1" applyBorder="1">
      <alignment vertical="center"/>
    </xf>
    <xf numFmtId="0" fontId="7" fillId="2" borderId="4" xfId="0" applyFont="1" applyFill="1" applyBorder="1">
      <alignment vertical="center"/>
    </xf>
    <xf numFmtId="0" fontId="7" fillId="2" borderId="3" xfId="0" applyFont="1" applyFill="1" applyBorder="1">
      <alignment vertical="center"/>
    </xf>
    <xf numFmtId="0" fontId="10" fillId="3" borderId="0" xfId="2" applyFont="1" applyFill="1">
      <alignment vertical="center"/>
    </xf>
    <xf numFmtId="0" fontId="7" fillId="3" borderId="4" xfId="0" applyFont="1" applyFill="1" applyBorder="1">
      <alignment vertical="center"/>
    </xf>
    <xf numFmtId="0" fontId="7" fillId="3" borderId="3" xfId="0" applyFont="1" applyFill="1" applyBorder="1">
      <alignment vertical="center"/>
    </xf>
    <xf numFmtId="0" fontId="7" fillId="3" borderId="5" xfId="0" applyFont="1" applyFill="1" applyBorder="1">
      <alignment vertical="center"/>
    </xf>
    <xf numFmtId="0" fontId="10" fillId="3" borderId="0" xfId="2" applyFont="1" applyFill="1" applyAlignment="1">
      <alignment vertical="center" wrapText="1"/>
    </xf>
    <xf numFmtId="0" fontId="14" fillId="0" borderId="5" xfId="2" applyFont="1" applyBorder="1">
      <alignment vertical="center"/>
    </xf>
    <xf numFmtId="0" fontId="14" fillId="0" borderId="4" xfId="2" applyFont="1" applyBorder="1">
      <alignment vertical="center"/>
    </xf>
    <xf numFmtId="0" fontId="12" fillId="3" borderId="4" xfId="0" applyFont="1" applyFill="1" applyBorder="1">
      <alignment vertical="center"/>
    </xf>
    <xf numFmtId="0" fontId="12" fillId="3" borderId="3" xfId="0" applyFont="1" applyFill="1" applyBorder="1">
      <alignment vertical="center"/>
    </xf>
    <xf numFmtId="0" fontId="12" fillId="3" borderId="5" xfId="0" applyFont="1" applyFill="1" applyBorder="1">
      <alignment vertical="center"/>
    </xf>
    <xf numFmtId="0" fontId="10" fillId="5" borderId="5" xfId="2" applyFont="1" applyFill="1" applyBorder="1">
      <alignment vertical="center"/>
    </xf>
    <xf numFmtId="0" fontId="10" fillId="5" borderId="4" xfId="2" applyFont="1" applyFill="1" applyBorder="1">
      <alignment vertical="center"/>
    </xf>
    <xf numFmtId="0" fontId="10" fillId="5" borderId="3" xfId="2" applyFont="1" applyFill="1" applyBorder="1">
      <alignment vertical="center"/>
    </xf>
    <xf numFmtId="0" fontId="10" fillId="5" borderId="4" xfId="2" applyFont="1" applyFill="1" applyBorder="1" applyAlignment="1">
      <alignment vertical="center" wrapText="1"/>
    </xf>
    <xf numFmtId="0" fontId="10" fillId="6" borderId="5" xfId="2" applyFont="1" applyFill="1" applyBorder="1">
      <alignment vertical="center"/>
    </xf>
    <xf numFmtId="0" fontId="10" fillId="6" borderId="4" xfId="2" applyFont="1" applyFill="1" applyBorder="1">
      <alignment vertical="center"/>
    </xf>
    <xf numFmtId="0" fontId="10" fillId="6" borderId="3" xfId="2" applyFont="1" applyFill="1" applyBorder="1">
      <alignment vertical="center"/>
    </xf>
    <xf numFmtId="0" fontId="10" fillId="6" borderId="4" xfId="2" applyFont="1" applyFill="1" applyBorder="1" applyAlignment="1">
      <alignment vertical="center" wrapText="1"/>
    </xf>
    <xf numFmtId="49" fontId="15" fillId="7" borderId="15" xfId="0" applyNumberFormat="1" applyFont="1" applyFill="1" applyBorder="1" applyAlignment="1">
      <alignment horizontal="left" vertical="center" wrapText="1"/>
    </xf>
    <xf numFmtId="49" fontId="0" fillId="0" borderId="15" xfId="0" applyNumberFormat="1" applyBorder="1">
      <alignment vertical="center"/>
    </xf>
    <xf numFmtId="0" fontId="0" fillId="0" borderId="15" xfId="0" applyBorder="1" applyAlignment="1">
      <alignment horizontal="left" vertical="center"/>
    </xf>
    <xf numFmtId="0" fontId="16" fillId="0" borderId="0" xfId="0" applyFont="1">
      <alignment vertical="center"/>
    </xf>
    <xf numFmtId="0" fontId="17" fillId="0" borderId="17" xfId="4" applyFont="1" applyBorder="1" applyAlignment="1">
      <alignment horizontal="center"/>
    </xf>
    <xf numFmtId="0" fontId="17" fillId="0" borderId="20" xfId="4" applyFont="1" applyBorder="1" applyAlignment="1">
      <alignment horizontal="center"/>
    </xf>
    <xf numFmtId="0" fontId="17" fillId="0" borderId="7" xfId="4" applyFont="1" applyBorder="1" applyAlignment="1">
      <alignment horizontal="left"/>
    </xf>
    <xf numFmtId="0" fontId="17" fillId="0" borderId="9" xfId="4" applyFont="1" applyBorder="1" applyAlignment="1">
      <alignment horizontal="left"/>
    </xf>
    <xf numFmtId="0" fontId="17" fillId="0" borderId="27" xfId="4" applyFont="1" applyBorder="1" applyAlignment="1">
      <alignment horizontal="left"/>
    </xf>
    <xf numFmtId="0" fontId="17" fillId="0" borderId="18" xfId="4" applyFont="1" applyBorder="1" applyAlignment="1">
      <alignment horizontal="center"/>
    </xf>
    <xf numFmtId="0" fontId="17" fillId="0" borderId="9" xfId="4" applyFont="1" applyBorder="1" applyAlignment="1">
      <alignment horizontal="center"/>
    </xf>
    <xf numFmtId="0" fontId="17" fillId="0" borderId="8" xfId="4" applyFont="1" applyBorder="1" applyAlignment="1">
      <alignment horizontal="center"/>
    </xf>
    <xf numFmtId="0" fontId="2" fillId="0" borderId="0" xfId="1"/>
    <xf numFmtId="0" fontId="24" fillId="0" borderId="0" xfId="1" applyFont="1" applyAlignment="1">
      <alignment vertical="top"/>
    </xf>
    <xf numFmtId="0" fontId="10" fillId="0" borderId="0" xfId="1" applyFont="1" applyAlignment="1">
      <alignment vertical="top"/>
    </xf>
    <xf numFmtId="0" fontId="25" fillId="0" borderId="1" xfId="1" applyFont="1" applyBorder="1" applyAlignment="1">
      <alignment horizontal="left" vertical="top" wrapText="1"/>
    </xf>
    <xf numFmtId="178" fontId="24" fillId="0" borderId="1" xfId="1" applyNumberFormat="1" applyFont="1" applyBorder="1" applyAlignment="1">
      <alignment horizontal="center" vertical="top" wrapText="1"/>
    </xf>
    <xf numFmtId="0" fontId="10" fillId="0" borderId="3" xfId="1" applyFont="1" applyBorder="1" applyAlignment="1">
      <alignment horizontal="left" vertical="top"/>
    </xf>
    <xf numFmtId="0" fontId="10" fillId="0" borderId="3" xfId="1" applyFont="1" applyBorder="1" applyAlignment="1">
      <alignment horizontal="left" vertical="top" wrapText="1"/>
    </xf>
    <xf numFmtId="49" fontId="7" fillId="0" borderId="1" xfId="1" quotePrefix="1" applyNumberFormat="1" applyFont="1" applyBorder="1" applyAlignment="1">
      <alignment horizontal="center" vertical="top" wrapText="1"/>
    </xf>
    <xf numFmtId="0" fontId="10" fillId="3" borderId="1" xfId="1" applyFont="1" applyFill="1" applyBorder="1" applyAlignment="1">
      <alignment horizontal="left" vertical="top"/>
    </xf>
    <xf numFmtId="0" fontId="10" fillId="3" borderId="1" xfId="1" applyFont="1" applyFill="1" applyBorder="1" applyAlignment="1">
      <alignment horizontal="left" vertical="top" wrapText="1"/>
    </xf>
    <xf numFmtId="179" fontId="7" fillId="0" borderId="1" xfId="1" quotePrefix="1" applyNumberFormat="1" applyFont="1" applyBorder="1" applyAlignment="1">
      <alignment horizontal="center" vertical="top" wrapText="1"/>
    </xf>
    <xf numFmtId="0" fontId="10" fillId="0" borderId="0" xfId="1" applyFont="1" applyAlignment="1">
      <alignment vertical="center"/>
    </xf>
    <xf numFmtId="0" fontId="26" fillId="0" borderId="3" xfId="1" applyFont="1" applyBorder="1" applyAlignment="1">
      <alignment horizontal="left" vertical="top" wrapText="1"/>
    </xf>
    <xf numFmtId="49" fontId="24" fillId="0" borderId="1" xfId="1" applyNumberFormat="1" applyFont="1" applyBorder="1" applyAlignment="1">
      <alignment horizontal="center" vertical="top" wrapText="1"/>
    </xf>
    <xf numFmtId="0" fontId="24" fillId="0" borderId="0" xfId="1" quotePrefix="1" applyFont="1" applyAlignment="1">
      <alignment vertical="top"/>
    </xf>
    <xf numFmtId="0" fontId="10" fillId="0" borderId="0" xfId="1" applyFont="1" applyAlignment="1">
      <alignment horizontal="left" vertical="center"/>
    </xf>
    <xf numFmtId="0" fontId="10" fillId="0" borderId="1" xfId="1" applyFont="1" applyBorder="1" applyAlignment="1">
      <alignment horizontal="left" vertical="top" wrapText="1"/>
    </xf>
    <xf numFmtId="0" fontId="24" fillId="0" borderId="0" xfId="1" applyFont="1" applyAlignment="1">
      <alignment vertical="top" wrapText="1"/>
    </xf>
    <xf numFmtId="0" fontId="24" fillId="0" borderId="0" xfId="1" applyFont="1" applyAlignment="1">
      <alignment horizontal="center" vertical="center"/>
    </xf>
    <xf numFmtId="0" fontId="25" fillId="8" borderId="1" xfId="1" applyFont="1" applyFill="1" applyBorder="1" applyAlignment="1">
      <alignment horizontal="center" vertical="center" wrapText="1"/>
    </xf>
    <xf numFmtId="0" fontId="24" fillId="8" borderId="1" xfId="1" applyFont="1" applyFill="1" applyBorder="1" applyAlignment="1">
      <alignment horizontal="center" vertical="center" wrapText="1"/>
    </xf>
    <xf numFmtId="0" fontId="10" fillId="8" borderId="3" xfId="1" applyFont="1" applyFill="1" applyBorder="1" applyAlignment="1">
      <alignment horizontal="center" vertical="center"/>
    </xf>
    <xf numFmtId="0" fontId="24" fillId="0" borderId="0" xfId="1" applyFont="1" applyAlignment="1">
      <alignment vertical="center"/>
    </xf>
    <xf numFmtId="0" fontId="24" fillId="4" borderId="1" xfId="1" applyFont="1" applyFill="1" applyBorder="1" applyAlignment="1">
      <alignment horizontal="center" vertical="center"/>
    </xf>
    <xf numFmtId="0" fontId="24" fillId="4" borderId="3" xfId="1" applyFont="1" applyFill="1" applyBorder="1" applyAlignment="1">
      <alignment vertical="center"/>
    </xf>
    <xf numFmtId="0" fontId="17" fillId="0" borderId="19" xfId="4" applyFont="1" applyBorder="1" applyAlignment="1">
      <alignment horizontal="left"/>
    </xf>
    <xf numFmtId="0" fontId="17" fillId="0" borderId="0" xfId="4" applyFont="1"/>
    <xf numFmtId="0" fontId="7" fillId="3" borderId="0" xfId="0" applyFont="1" applyFill="1">
      <alignment vertical="center"/>
    </xf>
    <xf numFmtId="0" fontId="7" fillId="3" borderId="7" xfId="0" applyFont="1" applyFill="1" applyBorder="1">
      <alignment vertical="center"/>
    </xf>
    <xf numFmtId="0" fontId="0" fillId="3" borderId="0" xfId="0" applyFill="1">
      <alignment vertical="center"/>
    </xf>
    <xf numFmtId="0" fontId="7" fillId="3" borderId="9" xfId="0" applyFont="1" applyFill="1" applyBorder="1">
      <alignment vertical="center"/>
    </xf>
    <xf numFmtId="0" fontId="7" fillId="3" borderId="12" xfId="0" applyFont="1" applyFill="1" applyBorder="1">
      <alignment vertical="center"/>
    </xf>
    <xf numFmtId="0" fontId="7" fillId="3" borderId="2" xfId="0" applyFont="1" applyFill="1" applyBorder="1">
      <alignment vertical="center"/>
    </xf>
    <xf numFmtId="0" fontId="12" fillId="3" borderId="2" xfId="0" applyFont="1" applyFill="1" applyBorder="1">
      <alignment vertical="center"/>
    </xf>
    <xf numFmtId="0" fontId="13" fillId="3" borderId="2" xfId="0" applyFont="1" applyFill="1" applyBorder="1">
      <alignment vertical="center"/>
    </xf>
    <xf numFmtId="0" fontId="7" fillId="3" borderId="10" xfId="0" applyFont="1" applyFill="1" applyBorder="1">
      <alignment vertical="center"/>
    </xf>
    <xf numFmtId="0" fontId="7" fillId="3" borderId="13" xfId="0" applyFont="1" applyFill="1" applyBorder="1">
      <alignment vertical="center"/>
    </xf>
    <xf numFmtId="0" fontId="0" fillId="3" borderId="10" xfId="0" applyFill="1" applyBorder="1">
      <alignment vertical="center"/>
    </xf>
    <xf numFmtId="0" fontId="7" fillId="3" borderId="14" xfId="0" applyFont="1" applyFill="1" applyBorder="1">
      <alignment vertical="center"/>
    </xf>
    <xf numFmtId="0" fontId="24" fillId="4" borderId="5" xfId="1" applyFont="1" applyFill="1" applyBorder="1" applyAlignment="1">
      <alignment vertical="center"/>
    </xf>
    <xf numFmtId="14" fontId="24" fillId="0" borderId="0" xfId="1" applyNumberFormat="1" applyFont="1" applyAlignment="1">
      <alignment vertical="top"/>
    </xf>
    <xf numFmtId="0" fontId="5" fillId="5" borderId="5" xfId="0" applyFont="1" applyFill="1" applyBorder="1">
      <alignment vertical="center"/>
    </xf>
    <xf numFmtId="0" fontId="5" fillId="5" borderId="4" xfId="0" applyFont="1" applyFill="1" applyBorder="1">
      <alignment vertical="center"/>
    </xf>
    <xf numFmtId="0" fontId="5" fillId="5" borderId="3" xfId="0" applyFont="1" applyFill="1" applyBorder="1">
      <alignment vertical="center"/>
    </xf>
    <xf numFmtId="0" fontId="8" fillId="5" borderId="7" xfId="2" applyFont="1" applyFill="1" applyBorder="1" applyAlignment="1">
      <alignment vertical="center" wrapText="1"/>
    </xf>
    <xf numFmtId="0" fontId="8" fillId="5" borderId="7" xfId="2" applyFont="1" applyFill="1" applyBorder="1" applyAlignment="1">
      <alignment horizontal="centerContinuous" shrinkToFit="1"/>
    </xf>
    <xf numFmtId="0" fontId="8" fillId="5" borderId="9" xfId="2" applyFont="1" applyFill="1" applyBorder="1" applyAlignment="1">
      <alignment horizontal="centerContinuous" vertical="center" shrinkToFit="1"/>
    </xf>
    <xf numFmtId="176" fontId="8" fillId="5" borderId="3" xfId="2" applyNumberFormat="1" applyFont="1" applyFill="1" applyBorder="1" applyAlignment="1">
      <alignment horizontal="centerContinuous" vertical="center"/>
    </xf>
    <xf numFmtId="176" fontId="8" fillId="5" borderId="1" xfId="2" applyNumberFormat="1" applyFont="1" applyFill="1" applyBorder="1" applyAlignment="1">
      <alignment horizontal="center" vertical="center" wrapText="1"/>
    </xf>
    <xf numFmtId="176" fontId="8" fillId="5" borderId="5" xfId="2" applyNumberFormat="1" applyFont="1" applyFill="1" applyBorder="1" applyAlignment="1">
      <alignment horizontal="centerContinuous" vertical="center" wrapText="1"/>
    </xf>
    <xf numFmtId="176" fontId="8" fillId="5" borderId="3" xfId="2" applyNumberFormat="1" applyFont="1" applyFill="1" applyBorder="1" applyAlignment="1">
      <alignment horizontal="centerContinuous" vertical="center" wrapText="1"/>
    </xf>
    <xf numFmtId="0" fontId="8" fillId="5" borderId="11" xfId="2" applyFont="1" applyFill="1" applyBorder="1" applyAlignment="1">
      <alignment vertical="center" wrapText="1"/>
    </xf>
    <xf numFmtId="176" fontId="8" fillId="5" borderId="6" xfId="2" applyNumberFormat="1" applyFont="1" applyFill="1" applyBorder="1" applyAlignment="1">
      <alignment horizontal="center" vertical="center" wrapText="1"/>
    </xf>
    <xf numFmtId="0" fontId="17" fillId="0" borderId="0" xfId="7" applyFont="1"/>
    <xf numFmtId="0" fontId="17" fillId="0" borderId="16" xfId="4" applyFont="1" applyBorder="1" applyAlignment="1">
      <alignment horizontal="left" vertical="center"/>
    </xf>
    <xf numFmtId="0" fontId="17" fillId="0" borderId="26" xfId="4" applyFont="1" applyBorder="1" applyAlignment="1">
      <alignment horizontal="left" vertical="center"/>
    </xf>
    <xf numFmtId="14" fontId="18" fillId="3" borderId="0" xfId="4" applyNumberFormat="1" applyFont="1" applyFill="1"/>
    <xf numFmtId="0" fontId="17" fillId="3" borderId="17" xfId="4" applyFont="1" applyFill="1" applyBorder="1" applyAlignment="1">
      <alignment horizontal="center"/>
    </xf>
    <xf numFmtId="0" fontId="17" fillId="3" borderId="19" xfId="4" applyFont="1" applyFill="1" applyBorder="1" applyAlignment="1">
      <alignment horizontal="left"/>
    </xf>
    <xf numFmtId="0" fontId="17" fillId="3" borderId="20" xfId="4" applyFont="1" applyFill="1" applyBorder="1" applyAlignment="1">
      <alignment horizontal="center"/>
    </xf>
    <xf numFmtId="0" fontId="17" fillId="3" borderId="7" xfId="4" applyFont="1" applyFill="1" applyBorder="1" applyAlignment="1">
      <alignment horizontal="left"/>
    </xf>
    <xf numFmtId="0" fontId="17" fillId="3" borderId="9" xfId="4" applyFont="1" applyFill="1" applyBorder="1" applyAlignment="1">
      <alignment horizontal="left"/>
    </xf>
    <xf numFmtId="0" fontId="17" fillId="3" borderId="27" xfId="4" applyFont="1" applyFill="1" applyBorder="1" applyAlignment="1">
      <alignment horizontal="left"/>
    </xf>
    <xf numFmtId="0" fontId="17" fillId="3" borderId="0" xfId="6" applyFont="1" applyFill="1" applyAlignment="1">
      <alignment horizontal="left"/>
    </xf>
    <xf numFmtId="0" fontId="19" fillId="3" borderId="0" xfId="6" applyFont="1" applyFill="1" applyAlignment="1">
      <alignment vertical="center"/>
    </xf>
    <xf numFmtId="0" fontId="17" fillId="3" borderId="30" xfId="4" applyFont="1" applyFill="1" applyBorder="1" applyAlignment="1">
      <alignment horizontal="left"/>
    </xf>
    <xf numFmtId="0" fontId="19" fillId="3" borderId="21" xfId="6" applyFont="1" applyFill="1" applyBorder="1" applyAlignment="1">
      <alignment vertical="center"/>
    </xf>
    <xf numFmtId="0" fontId="17" fillId="3" borderId="31" xfId="4" applyFont="1" applyFill="1" applyBorder="1" applyAlignment="1">
      <alignment horizontal="left"/>
    </xf>
    <xf numFmtId="0" fontId="9" fillId="3" borderId="0" xfId="2" applyFont="1" applyFill="1">
      <alignment vertical="center"/>
    </xf>
    <xf numFmtId="0" fontId="9" fillId="3" borderId="0" xfId="0" applyFont="1" applyFill="1">
      <alignment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>
      <alignment vertical="center"/>
    </xf>
    <xf numFmtId="0" fontId="9" fillId="3" borderId="1" xfId="0" applyFont="1" applyFill="1" applyBorder="1" applyAlignment="1">
      <alignment vertical="center" wrapText="1"/>
    </xf>
    <xf numFmtId="0" fontId="11" fillId="3" borderId="1" xfId="0" applyFont="1" applyFill="1" applyBorder="1">
      <alignment vertical="center"/>
    </xf>
    <xf numFmtId="0" fontId="11" fillId="3" borderId="0" xfId="0" applyFont="1" applyFill="1">
      <alignment vertical="center"/>
    </xf>
    <xf numFmtId="0" fontId="9" fillId="3" borderId="0" xfId="0" applyFont="1" applyFill="1" applyAlignment="1">
      <alignment horizontal="center" vertical="center"/>
    </xf>
    <xf numFmtId="0" fontId="0" fillId="0" borderId="7" xfId="0" applyBorder="1">
      <alignment vertical="center"/>
    </xf>
    <xf numFmtId="0" fontId="0" fillId="0" borderId="9" xfId="0" applyBorder="1">
      <alignment vertical="center"/>
    </xf>
    <xf numFmtId="0" fontId="0" fillId="0" borderId="8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29" fillId="3" borderId="16" xfId="4" applyFont="1" applyFill="1" applyBorder="1"/>
    <xf numFmtId="0" fontId="29" fillId="3" borderId="22" xfId="4" applyFont="1" applyFill="1" applyBorder="1"/>
    <xf numFmtId="0" fontId="19" fillId="0" borderId="0" xfId="4" applyFont="1" applyAlignment="1">
      <alignment vertical="center"/>
    </xf>
    <xf numFmtId="0" fontId="19" fillId="0" borderId="10" xfId="4" applyFont="1" applyBorder="1" applyAlignment="1">
      <alignment vertical="center"/>
    </xf>
    <xf numFmtId="0" fontId="17" fillId="0" borderId="10" xfId="4" applyFont="1" applyBorder="1"/>
    <xf numFmtId="0" fontId="17" fillId="0" borderId="32" xfId="4" applyFont="1" applyBorder="1" applyAlignment="1">
      <alignment horizontal="left" vertical="center"/>
    </xf>
    <xf numFmtId="0" fontId="17" fillId="0" borderId="4" xfId="4" applyFont="1" applyBorder="1" applyAlignment="1">
      <alignment horizontal="center"/>
    </xf>
    <xf numFmtId="0" fontId="17" fillId="0" borderId="3" xfId="4" applyFont="1" applyBorder="1" applyAlignment="1">
      <alignment horizontal="center"/>
    </xf>
    <xf numFmtId="0" fontId="17" fillId="0" borderId="5" xfId="4" applyFont="1" applyBorder="1" applyAlignment="1">
      <alignment horizontal="left"/>
    </xf>
    <xf numFmtId="0" fontId="17" fillId="0" borderId="4" xfId="4" applyFont="1" applyBorder="1" applyAlignment="1">
      <alignment horizontal="left"/>
    </xf>
    <xf numFmtId="0" fontId="17" fillId="0" borderId="33" xfId="4" applyFont="1" applyBorder="1" applyAlignment="1">
      <alignment horizontal="left"/>
    </xf>
    <xf numFmtId="0" fontId="19" fillId="0" borderId="0" xfId="4" applyFont="1" applyAlignment="1">
      <alignment horizontal="left" vertical="center"/>
    </xf>
    <xf numFmtId="0" fontId="19" fillId="0" borderId="10" xfId="4" applyFont="1" applyBorder="1" applyAlignment="1">
      <alignment horizontal="left" vertical="center"/>
    </xf>
    <xf numFmtId="0" fontId="17" fillId="0" borderId="0" xfId="4" applyFont="1" applyAlignment="1">
      <alignment vertical="center"/>
    </xf>
    <xf numFmtId="0" fontId="9" fillId="6" borderId="5" xfId="0" applyFont="1" applyFill="1" applyBorder="1" applyAlignment="1">
      <alignment horizontal="left" vertical="center"/>
    </xf>
    <xf numFmtId="0" fontId="9" fillId="6" borderId="4" xfId="0" applyFont="1" applyFill="1" applyBorder="1">
      <alignment vertical="center"/>
    </xf>
    <xf numFmtId="0" fontId="9" fillId="6" borderId="3" xfId="0" applyFont="1" applyFill="1" applyBorder="1">
      <alignment vertical="center"/>
    </xf>
    <xf numFmtId="14" fontId="31" fillId="0" borderId="0" xfId="4" applyNumberFormat="1" applyFont="1"/>
    <xf numFmtId="0" fontId="24" fillId="0" borderId="17" xfId="4" applyFont="1" applyBorder="1" applyAlignment="1">
      <alignment horizontal="center"/>
    </xf>
    <xf numFmtId="0" fontId="24" fillId="0" borderId="19" xfId="4" applyFont="1" applyBorder="1" applyAlignment="1">
      <alignment horizontal="left"/>
    </xf>
    <xf numFmtId="0" fontId="28" fillId="0" borderId="17" xfId="4" applyFont="1" applyBorder="1" applyAlignment="1">
      <alignment horizontal="center"/>
    </xf>
    <xf numFmtId="0" fontId="28" fillId="0" borderId="20" xfId="4" applyFont="1" applyBorder="1" applyAlignment="1">
      <alignment horizontal="center"/>
    </xf>
    <xf numFmtId="0" fontId="7" fillId="3" borderId="26" xfId="0" applyFont="1" applyFill="1" applyBorder="1">
      <alignment vertical="center"/>
    </xf>
    <xf numFmtId="0" fontId="7" fillId="0" borderId="35" xfId="0" applyFont="1" applyBorder="1">
      <alignment vertical="center"/>
    </xf>
    <xf numFmtId="0" fontId="7" fillId="3" borderId="48" xfId="0" applyFont="1" applyFill="1" applyBorder="1">
      <alignment vertical="center"/>
    </xf>
    <xf numFmtId="0" fontId="7" fillId="3" borderId="34" xfId="0" applyFont="1" applyFill="1" applyBorder="1">
      <alignment vertical="center"/>
    </xf>
    <xf numFmtId="49" fontId="5" fillId="3" borderId="34" xfId="0" applyNumberFormat="1" applyFont="1" applyFill="1" applyBorder="1">
      <alignment vertical="center"/>
    </xf>
    <xf numFmtId="0" fontId="10" fillId="3" borderId="0" xfId="0" applyFont="1" applyFill="1">
      <alignment vertical="center"/>
    </xf>
    <xf numFmtId="49" fontId="10" fillId="3" borderId="34" xfId="0" applyNumberFormat="1" applyFont="1" applyFill="1" applyBorder="1">
      <alignment vertical="center"/>
    </xf>
    <xf numFmtId="0" fontId="28" fillId="3" borderId="0" xfId="0" applyFont="1" applyFill="1" applyAlignment="1">
      <alignment horizontal="left" vertical="center" readingOrder="1"/>
    </xf>
    <xf numFmtId="49" fontId="10" fillId="3" borderId="58" xfId="0" applyNumberFormat="1" applyFont="1" applyFill="1" applyBorder="1">
      <alignment vertical="center"/>
    </xf>
    <xf numFmtId="0" fontId="10" fillId="3" borderId="21" xfId="0" applyFont="1" applyFill="1" applyBorder="1">
      <alignment vertical="center"/>
    </xf>
    <xf numFmtId="0" fontId="7" fillId="3" borderId="21" xfId="0" applyFont="1" applyFill="1" applyBorder="1">
      <alignment vertical="center"/>
    </xf>
    <xf numFmtId="0" fontId="7" fillId="0" borderId="21" xfId="0" applyFont="1" applyBorder="1">
      <alignment vertical="center"/>
    </xf>
    <xf numFmtId="0" fontId="7" fillId="0" borderId="59" xfId="0" applyFont="1" applyBorder="1">
      <alignment vertical="center"/>
    </xf>
    <xf numFmtId="0" fontId="7" fillId="0" borderId="27" xfId="0" applyFont="1" applyBorder="1">
      <alignment vertical="center"/>
    </xf>
    <xf numFmtId="0" fontId="7" fillId="0" borderId="49" xfId="0" applyFont="1" applyBorder="1">
      <alignment vertical="center"/>
    </xf>
    <xf numFmtId="0" fontId="22" fillId="0" borderId="0" xfId="1" applyFont="1" applyAlignment="1">
      <alignment horizontal="center" vertical="center"/>
    </xf>
    <xf numFmtId="177" fontId="22" fillId="0" borderId="0" xfId="1" applyNumberFormat="1" applyFont="1" applyAlignment="1">
      <alignment horizontal="center" vertical="center"/>
    </xf>
    <xf numFmtId="0" fontId="23" fillId="0" borderId="0" xfId="1" applyFont="1" applyAlignment="1">
      <alignment horizontal="center" vertical="center" wrapText="1"/>
    </xf>
    <xf numFmtId="0" fontId="24" fillId="0" borderId="5" xfId="1" applyFont="1" applyBorder="1" applyAlignment="1">
      <alignment horizontal="left" vertical="top"/>
    </xf>
    <xf numFmtId="0" fontId="24" fillId="0" borderId="3" xfId="1" applyFont="1" applyBorder="1" applyAlignment="1">
      <alignment horizontal="left" vertical="top"/>
    </xf>
    <xf numFmtId="0" fontId="24" fillId="4" borderId="5" xfId="1" applyFont="1" applyFill="1" applyBorder="1" applyAlignment="1">
      <alignment horizontal="center" vertical="center" shrinkToFit="1"/>
    </xf>
    <xf numFmtId="0" fontId="24" fillId="4" borderId="4" xfId="1" applyFont="1" applyFill="1" applyBorder="1" applyAlignment="1">
      <alignment horizontal="center" vertical="center" shrinkToFit="1"/>
    </xf>
    <xf numFmtId="0" fontId="24" fillId="0" borderId="1" xfId="1" applyFont="1" applyBorder="1" applyAlignment="1">
      <alignment horizontal="left" vertical="center"/>
    </xf>
    <xf numFmtId="0" fontId="24" fillId="0" borderId="0" xfId="1" applyFont="1" applyAlignment="1">
      <alignment vertical="top" wrapText="1"/>
    </xf>
    <xf numFmtId="0" fontId="24" fillId="8" borderId="5" xfId="1" applyFont="1" applyFill="1" applyBorder="1" applyAlignment="1">
      <alignment horizontal="center" vertical="center"/>
    </xf>
    <xf numFmtId="0" fontId="24" fillId="8" borderId="3" xfId="1" applyFont="1" applyFill="1" applyBorder="1" applyAlignment="1">
      <alignment horizontal="center" vertical="center"/>
    </xf>
    <xf numFmtId="0" fontId="24" fillId="0" borderId="5" xfId="1" applyFont="1" applyBorder="1" applyAlignment="1">
      <alignment horizontal="left" vertical="top" wrapText="1"/>
    </xf>
    <xf numFmtId="0" fontId="24" fillId="0" borderId="3" xfId="1" applyFont="1" applyBorder="1" applyAlignment="1">
      <alignment horizontal="left" vertical="top" wrapText="1"/>
    </xf>
    <xf numFmtId="0" fontId="33" fillId="0" borderId="32" xfId="5" applyFont="1" applyBorder="1" applyAlignment="1">
      <alignment horizontal="left" vertical="center" wrapText="1"/>
    </xf>
    <xf numFmtId="0" fontId="33" fillId="0" borderId="4" xfId="0" applyFont="1" applyBorder="1" applyAlignment="1">
      <alignment horizontal="left" wrapText="1"/>
    </xf>
    <xf numFmtId="0" fontId="7" fillId="0" borderId="5" xfId="0" applyFont="1" applyBorder="1">
      <alignment vertical="center"/>
    </xf>
    <xf numFmtId="0" fontId="7" fillId="0" borderId="4" xfId="0" applyFont="1" applyBorder="1">
      <alignment vertical="center"/>
    </xf>
    <xf numFmtId="0" fontId="7" fillId="0" borderId="33" xfId="0" applyFont="1" applyBorder="1">
      <alignment vertical="center"/>
    </xf>
    <xf numFmtId="0" fontId="32" fillId="0" borderId="0" xfId="4" applyFont="1" applyAlignment="1">
      <alignment horizontal="left" vertical="center"/>
    </xf>
    <xf numFmtId="0" fontId="32" fillId="0" borderId="21" xfId="4" applyFont="1" applyBorder="1" applyAlignment="1">
      <alignment horizontal="left" vertical="center"/>
    </xf>
    <xf numFmtId="0" fontId="24" fillId="0" borderId="16" xfId="4" applyFont="1" applyBorder="1" applyAlignment="1">
      <alignment horizontal="center"/>
    </xf>
    <xf numFmtId="0" fontId="24" fillId="0" borderId="17" xfId="4" applyFont="1" applyBorder="1" applyAlignment="1">
      <alignment horizontal="center"/>
    </xf>
    <xf numFmtId="0" fontId="24" fillId="0" borderId="18" xfId="4" applyFont="1" applyBorder="1" applyAlignment="1">
      <alignment horizontal="center"/>
    </xf>
    <xf numFmtId="0" fontId="24" fillId="0" borderId="26" xfId="4" applyFont="1" applyBorder="1" applyAlignment="1">
      <alignment horizontal="center"/>
    </xf>
    <xf numFmtId="0" fontId="24" fillId="0" borderId="9" xfId="4" applyFont="1" applyBorder="1" applyAlignment="1">
      <alignment horizontal="center"/>
    </xf>
    <xf numFmtId="0" fontId="24" fillId="0" borderId="8" xfId="4" applyFont="1" applyBorder="1" applyAlignment="1">
      <alignment horizontal="center"/>
    </xf>
    <xf numFmtId="0" fontId="24" fillId="0" borderId="50" xfId="4" applyFont="1" applyBorder="1" applyAlignment="1">
      <alignment horizontal="left" vertical="center" wrapText="1"/>
    </xf>
    <xf numFmtId="0" fontId="24" fillId="0" borderId="23" xfId="4" applyFont="1" applyBorder="1" applyAlignment="1">
      <alignment horizontal="left" vertical="center" wrapText="1"/>
    </xf>
    <xf numFmtId="0" fontId="24" fillId="0" borderId="24" xfId="4" applyFont="1" applyBorder="1" applyAlignment="1">
      <alignment horizontal="left" vertical="center" wrapText="1"/>
    </xf>
    <xf numFmtId="0" fontId="33" fillId="0" borderId="16" xfId="5" applyFont="1" applyBorder="1" applyAlignment="1">
      <alignment horizontal="left" vertical="center" wrapText="1"/>
    </xf>
    <xf numFmtId="0" fontId="33" fillId="0" borderId="17" xfId="0" applyFont="1" applyBorder="1" applyAlignment="1">
      <alignment horizontal="left" vertical="center" wrapText="1"/>
    </xf>
    <xf numFmtId="0" fontId="24" fillId="0" borderId="19" xfId="5" applyFont="1" applyBorder="1" applyAlignment="1">
      <alignment horizontal="left" vertical="center" shrinkToFit="1"/>
    </xf>
    <xf numFmtId="0" fontId="24" fillId="0" borderId="17" xfId="5" applyFont="1" applyBorder="1" applyAlignment="1">
      <alignment horizontal="left" vertical="center" shrinkToFit="1"/>
    </xf>
    <xf numFmtId="0" fontId="24" fillId="0" borderId="18" xfId="5" applyFont="1" applyBorder="1" applyAlignment="1">
      <alignment horizontal="left" vertical="center" shrinkToFit="1"/>
    </xf>
    <xf numFmtId="0" fontId="33" fillId="0" borderId="19" xfId="5" applyFont="1" applyBorder="1" applyAlignment="1">
      <alignment horizontal="left" vertical="center" wrapText="1"/>
    </xf>
    <xf numFmtId="0" fontId="33" fillId="0" borderId="25" xfId="0" applyFont="1" applyBorder="1" applyAlignment="1">
      <alignment horizontal="left" vertical="center" wrapText="1"/>
    </xf>
    <xf numFmtId="0" fontId="7" fillId="0" borderId="29" xfId="0" applyFont="1" applyBorder="1">
      <alignment vertical="center"/>
    </xf>
    <xf numFmtId="0" fontId="7" fillId="0" borderId="17" xfId="0" applyFont="1" applyBorder="1">
      <alignment vertical="center"/>
    </xf>
    <xf numFmtId="0" fontId="7" fillId="0" borderId="20" xfId="0" applyFont="1" applyBorder="1">
      <alignment vertical="center"/>
    </xf>
    <xf numFmtId="0" fontId="33" fillId="0" borderId="51" xfId="5" applyFont="1" applyBorder="1" applyAlignment="1">
      <alignment horizontal="left" vertical="center" wrapText="1"/>
    </xf>
    <xf numFmtId="0" fontId="33" fillId="0" borderId="52" xfId="0" applyFont="1" applyBorder="1" applyAlignment="1">
      <alignment horizontal="left" vertical="center" wrapText="1"/>
    </xf>
    <xf numFmtId="0" fontId="24" fillId="0" borderId="53" xfId="5" applyFont="1" applyBorder="1" applyAlignment="1">
      <alignment horizontal="left" vertical="center" wrapText="1"/>
    </xf>
    <xf numFmtId="0" fontId="24" fillId="0" borderId="52" xfId="5" applyFont="1" applyBorder="1" applyAlignment="1">
      <alignment horizontal="left" vertical="center" wrapText="1"/>
    </xf>
    <xf numFmtId="0" fontId="24" fillId="0" borderId="54" xfId="5" applyFont="1" applyBorder="1" applyAlignment="1">
      <alignment horizontal="left" vertical="center" wrapText="1"/>
    </xf>
    <xf numFmtId="0" fontId="33" fillId="0" borderId="53" xfId="5" applyFont="1" applyBorder="1" applyAlignment="1">
      <alignment horizontal="left" vertical="center" wrapText="1"/>
    </xf>
    <xf numFmtId="0" fontId="33" fillId="0" borderId="55" xfId="0" applyFont="1" applyBorder="1" applyAlignment="1">
      <alignment horizontal="left" vertical="center" wrapText="1"/>
    </xf>
    <xf numFmtId="0" fontId="7" fillId="0" borderId="56" xfId="0" applyFont="1" applyBorder="1">
      <alignment vertical="center"/>
    </xf>
    <xf numFmtId="0" fontId="7" fillId="0" borderId="52" xfId="0" applyFont="1" applyBorder="1">
      <alignment vertical="center"/>
    </xf>
    <xf numFmtId="0" fontId="7" fillId="0" borderId="57" xfId="0" applyFont="1" applyBorder="1">
      <alignment vertical="center"/>
    </xf>
    <xf numFmtId="0" fontId="19" fillId="3" borderId="0" xfId="4" applyFont="1" applyFill="1" applyAlignment="1">
      <alignment horizontal="left" vertical="center"/>
    </xf>
    <xf numFmtId="0" fontId="29" fillId="3" borderId="16" xfId="4" applyFont="1" applyFill="1" applyBorder="1" applyAlignment="1">
      <alignment horizontal="center"/>
    </xf>
    <xf numFmtId="0" fontId="29" fillId="3" borderId="17" xfId="4" applyFont="1" applyFill="1" applyBorder="1" applyAlignment="1">
      <alignment horizontal="center"/>
    </xf>
    <xf numFmtId="0" fontId="29" fillId="3" borderId="18" xfId="4" applyFont="1" applyFill="1" applyBorder="1" applyAlignment="1">
      <alignment horizontal="center"/>
    </xf>
    <xf numFmtId="0" fontId="29" fillId="3" borderId="26" xfId="4" applyFont="1" applyFill="1" applyBorder="1" applyAlignment="1">
      <alignment horizontal="center"/>
    </xf>
    <xf numFmtId="0" fontId="29" fillId="3" borderId="9" xfId="4" applyFont="1" applyFill="1" applyBorder="1" applyAlignment="1">
      <alignment horizontal="center"/>
    </xf>
    <xf numFmtId="0" fontId="29" fillId="3" borderId="8" xfId="4" applyFont="1" applyFill="1" applyBorder="1" applyAlignment="1">
      <alignment horizontal="center"/>
    </xf>
    <xf numFmtId="0" fontId="19" fillId="3" borderId="0" xfId="6" applyFont="1" applyFill="1" applyAlignment="1">
      <alignment horizontal="left" vertical="center"/>
    </xf>
    <xf numFmtId="0" fontId="19" fillId="3" borderId="21" xfId="6" applyFont="1" applyFill="1" applyBorder="1" applyAlignment="1">
      <alignment horizontal="left" vertical="center"/>
    </xf>
    <xf numFmtId="0" fontId="8" fillId="5" borderId="6" xfId="2" applyFont="1" applyFill="1" applyBorder="1" applyAlignment="1">
      <alignment horizontal="center" vertical="center"/>
    </xf>
    <xf numFmtId="0" fontId="8" fillId="5" borderId="11" xfId="2" applyFont="1" applyFill="1" applyBorder="1" applyAlignment="1">
      <alignment horizontal="center" vertical="center"/>
    </xf>
    <xf numFmtId="14" fontId="8" fillId="5" borderId="6" xfId="2" applyNumberFormat="1" applyFont="1" applyFill="1" applyBorder="1" applyAlignment="1">
      <alignment horizontal="center" vertical="center" wrapText="1"/>
    </xf>
    <xf numFmtId="14" fontId="8" fillId="5" borderId="11" xfId="2" applyNumberFormat="1" applyFont="1" applyFill="1" applyBorder="1" applyAlignment="1">
      <alignment horizontal="center" vertical="center" wrapText="1"/>
    </xf>
    <xf numFmtId="14" fontId="8" fillId="5" borderId="6" xfId="2" applyNumberFormat="1" applyFont="1" applyFill="1" applyBorder="1" applyAlignment="1">
      <alignment horizontal="center" vertical="center"/>
    </xf>
    <xf numFmtId="14" fontId="8" fillId="5" borderId="11" xfId="2" applyNumberFormat="1" applyFont="1" applyFill="1" applyBorder="1" applyAlignment="1">
      <alignment horizontal="center" vertical="center"/>
    </xf>
    <xf numFmtId="0" fontId="8" fillId="5" borderId="6" xfId="2" applyFont="1" applyFill="1" applyBorder="1" applyAlignment="1">
      <alignment horizontal="center" vertical="center" wrapText="1"/>
    </xf>
    <xf numFmtId="0" fontId="8" fillId="5" borderId="11" xfId="2" applyFont="1" applyFill="1" applyBorder="1" applyAlignment="1">
      <alignment horizontal="center" vertical="center" wrapText="1"/>
    </xf>
    <xf numFmtId="0" fontId="8" fillId="5" borderId="28" xfId="2" applyFont="1" applyFill="1" applyBorder="1" applyAlignment="1">
      <alignment horizontal="center" vertical="center"/>
    </xf>
    <xf numFmtId="0" fontId="19" fillId="0" borderId="0" xfId="4" applyFont="1" applyAlignment="1">
      <alignment horizontal="left" vertical="center"/>
    </xf>
    <xf numFmtId="0" fontId="19" fillId="0" borderId="10" xfId="4" applyFont="1" applyBorder="1" applyAlignment="1">
      <alignment horizontal="left" vertical="center"/>
    </xf>
    <xf numFmtId="49" fontId="17" fillId="0" borderId="26" xfId="8" applyNumberFormat="1" applyFont="1" applyBorder="1" applyAlignment="1">
      <alignment horizontal="center" vertical="center"/>
    </xf>
    <xf numFmtId="49" fontId="17" fillId="0" borderId="9" xfId="8" applyNumberFormat="1" applyFont="1" applyBorder="1" applyAlignment="1">
      <alignment horizontal="center" vertical="center"/>
    </xf>
    <xf numFmtId="49" fontId="17" fillId="0" borderId="8" xfId="8" applyNumberFormat="1" applyFont="1" applyBorder="1" applyAlignment="1">
      <alignment horizontal="center" vertical="center"/>
    </xf>
    <xf numFmtId="49" fontId="17" fillId="0" borderId="34" xfId="8" applyNumberFormat="1" applyFont="1" applyBorder="1" applyAlignment="1">
      <alignment horizontal="center" vertical="center"/>
    </xf>
    <xf numFmtId="49" fontId="17" fillId="0" borderId="0" xfId="8" applyNumberFormat="1" applyFont="1" applyAlignment="1">
      <alignment horizontal="center" vertical="center"/>
    </xf>
    <xf numFmtId="49" fontId="17" fillId="0" borderId="12" xfId="8" applyNumberFormat="1" applyFont="1" applyBorder="1" applyAlignment="1">
      <alignment horizontal="center" vertical="center"/>
    </xf>
    <xf numFmtId="49" fontId="17" fillId="0" borderId="36" xfId="8" applyNumberFormat="1" applyFont="1" applyBorder="1" applyAlignment="1">
      <alignment horizontal="center" vertical="center"/>
    </xf>
    <xf numFmtId="49" fontId="17" fillId="0" borderId="37" xfId="8" applyNumberFormat="1" applyFont="1" applyBorder="1" applyAlignment="1">
      <alignment horizontal="center" vertical="center"/>
    </xf>
    <xf numFmtId="49" fontId="17" fillId="0" borderId="38" xfId="8" applyNumberFormat="1" applyFont="1" applyBorder="1" applyAlignment="1">
      <alignment horizontal="center" vertical="center"/>
    </xf>
    <xf numFmtId="49" fontId="17" fillId="0" borderId="7" xfId="4" applyNumberFormat="1" applyFont="1" applyBorder="1" applyAlignment="1">
      <alignment horizontal="center" vertical="center"/>
    </xf>
    <xf numFmtId="49" fontId="17" fillId="0" borderId="9" xfId="4" applyNumberFormat="1" applyFont="1" applyBorder="1" applyAlignment="1">
      <alignment horizontal="center" vertical="center"/>
    </xf>
    <xf numFmtId="49" fontId="17" fillId="0" borderId="8" xfId="4" applyNumberFormat="1" applyFont="1" applyBorder="1" applyAlignment="1">
      <alignment horizontal="center" vertical="center"/>
    </xf>
    <xf numFmtId="49" fontId="17" fillId="0" borderId="2" xfId="4" applyNumberFormat="1" applyFont="1" applyBorder="1" applyAlignment="1">
      <alignment horizontal="center" vertical="center"/>
    </xf>
    <xf numFmtId="49" fontId="17" fillId="0" borderId="0" xfId="4" applyNumberFormat="1" applyFont="1" applyAlignment="1">
      <alignment horizontal="center" vertical="center"/>
    </xf>
    <xf numFmtId="49" fontId="17" fillId="0" borderId="12" xfId="4" applyNumberFormat="1" applyFont="1" applyBorder="1" applyAlignment="1">
      <alignment horizontal="center" vertical="center"/>
    </xf>
    <xf numFmtId="49" fontId="17" fillId="0" borderId="39" xfId="4" applyNumberFormat="1" applyFont="1" applyBorder="1" applyAlignment="1">
      <alignment horizontal="center" vertical="center"/>
    </xf>
    <xf numFmtId="49" fontId="17" fillId="0" borderId="37" xfId="4" applyNumberFormat="1" applyFont="1" applyBorder="1" applyAlignment="1">
      <alignment horizontal="center" vertical="center"/>
    </xf>
    <xf numFmtId="49" fontId="17" fillId="0" borderId="38" xfId="4" applyNumberFormat="1" applyFont="1" applyBorder="1" applyAlignment="1">
      <alignment horizontal="center" vertical="center"/>
    </xf>
    <xf numFmtId="49" fontId="17" fillId="0" borderId="5" xfId="4" applyNumberFormat="1" applyFont="1" applyBorder="1" applyAlignment="1">
      <alignment horizontal="center" vertical="center"/>
    </xf>
    <xf numFmtId="49" fontId="17" fillId="0" borderId="4" xfId="4" applyNumberFormat="1" applyFont="1" applyBorder="1" applyAlignment="1">
      <alignment horizontal="center" vertical="center"/>
    </xf>
    <xf numFmtId="49" fontId="17" fillId="0" borderId="3" xfId="4" applyNumberFormat="1" applyFont="1" applyBorder="1" applyAlignment="1">
      <alignment horizontal="center" vertical="center"/>
    </xf>
    <xf numFmtId="49" fontId="17" fillId="0" borderId="33" xfId="4" applyNumberFormat="1" applyFont="1" applyBorder="1" applyAlignment="1">
      <alignment horizontal="center" vertical="center"/>
    </xf>
    <xf numFmtId="49" fontId="17" fillId="0" borderId="7" xfId="4" applyNumberFormat="1" applyFont="1" applyBorder="1" applyAlignment="1">
      <alignment horizontal="center" vertical="center" wrapText="1"/>
    </xf>
    <xf numFmtId="49" fontId="17" fillId="0" borderId="8" xfId="4" applyNumberFormat="1" applyFont="1" applyBorder="1" applyAlignment="1">
      <alignment horizontal="center" vertical="center" wrapText="1"/>
    </xf>
    <xf numFmtId="49" fontId="17" fillId="0" borderId="2" xfId="4" applyNumberFormat="1" applyFont="1" applyBorder="1" applyAlignment="1">
      <alignment horizontal="center" vertical="center" wrapText="1"/>
    </xf>
    <xf numFmtId="49" fontId="17" fillId="0" borderId="12" xfId="4" applyNumberFormat="1" applyFont="1" applyBorder="1" applyAlignment="1">
      <alignment horizontal="center" vertical="center" wrapText="1"/>
    </xf>
    <xf numFmtId="49" fontId="17" fillId="0" borderId="39" xfId="4" applyNumberFormat="1" applyFont="1" applyBorder="1" applyAlignment="1">
      <alignment horizontal="center" vertical="center" wrapText="1"/>
    </xf>
    <xf numFmtId="49" fontId="17" fillId="0" borderId="38" xfId="4" applyNumberFormat="1" applyFont="1" applyBorder="1" applyAlignment="1">
      <alignment horizontal="center" vertical="center" wrapText="1"/>
    </xf>
    <xf numFmtId="49" fontId="17" fillId="0" borderId="9" xfId="4" applyNumberFormat="1" applyFont="1" applyBorder="1" applyAlignment="1">
      <alignment horizontal="center" vertical="center" wrapText="1"/>
    </xf>
    <xf numFmtId="49" fontId="17" fillId="0" borderId="0" xfId="4" applyNumberFormat="1" applyFont="1" applyAlignment="1">
      <alignment horizontal="center" vertical="center" wrapText="1"/>
    </xf>
    <xf numFmtId="49" fontId="17" fillId="0" borderId="37" xfId="4" applyNumberFormat="1" applyFont="1" applyBorder="1" applyAlignment="1">
      <alignment horizontal="center" vertical="center" wrapText="1"/>
    </xf>
    <xf numFmtId="49" fontId="17" fillId="0" borderId="1" xfId="4" applyNumberFormat="1" applyFont="1" applyBorder="1" applyAlignment="1">
      <alignment horizontal="center" vertical="center"/>
    </xf>
    <xf numFmtId="49" fontId="17" fillId="0" borderId="5" xfId="4" applyNumberFormat="1" applyFont="1" applyBorder="1" applyAlignment="1">
      <alignment horizontal="center" vertical="center" wrapText="1"/>
    </xf>
    <xf numFmtId="49" fontId="17" fillId="0" borderId="4" xfId="4" applyNumberFormat="1" applyFont="1" applyBorder="1" applyAlignment="1">
      <alignment horizontal="center" vertical="center" wrapText="1"/>
    </xf>
    <xf numFmtId="49" fontId="17" fillId="0" borderId="3" xfId="4" applyNumberFormat="1" applyFont="1" applyBorder="1" applyAlignment="1">
      <alignment horizontal="center" vertical="center" wrapText="1"/>
    </xf>
    <xf numFmtId="49" fontId="17" fillId="0" borderId="27" xfId="4" applyNumberFormat="1" applyFont="1" applyBorder="1" applyAlignment="1">
      <alignment horizontal="center" vertical="center" wrapText="1"/>
    </xf>
    <xf numFmtId="49" fontId="17" fillId="0" borderId="35" xfId="4" applyNumberFormat="1" applyFont="1" applyBorder="1" applyAlignment="1">
      <alignment horizontal="center" vertical="center" wrapText="1"/>
    </xf>
    <xf numFmtId="49" fontId="17" fillId="0" borderId="42" xfId="4" applyNumberFormat="1" applyFont="1" applyBorder="1" applyAlignment="1">
      <alignment horizontal="center" vertical="center" wrapText="1"/>
    </xf>
    <xf numFmtId="49" fontId="17" fillId="0" borderId="40" xfId="4" applyNumberFormat="1" applyFont="1" applyBorder="1" applyAlignment="1">
      <alignment horizontal="center" vertical="center"/>
    </xf>
    <xf numFmtId="49" fontId="17" fillId="0" borderId="41" xfId="4" applyNumberFormat="1" applyFont="1" applyBorder="1" applyAlignment="1">
      <alignment horizontal="center" vertical="center"/>
    </xf>
    <xf numFmtId="49" fontId="17" fillId="0" borderId="40" xfId="4" applyNumberFormat="1" applyFont="1" applyBorder="1" applyAlignment="1">
      <alignment horizontal="center" vertical="center" wrapText="1" shrinkToFit="1"/>
    </xf>
    <xf numFmtId="49" fontId="17" fillId="0" borderId="41" xfId="4" applyNumberFormat="1" applyFont="1" applyBorder="1" applyAlignment="1">
      <alignment horizontal="center" vertical="center" wrapText="1" shrinkToFit="1"/>
    </xf>
    <xf numFmtId="49" fontId="17" fillId="0" borderId="40" xfId="4" applyNumberFormat="1" applyFont="1" applyBorder="1" applyAlignment="1">
      <alignment horizontal="center" vertical="center" wrapText="1"/>
    </xf>
    <xf numFmtId="49" fontId="17" fillId="0" borderId="43" xfId="8" applyNumberFormat="1" applyFont="1" applyBorder="1" applyAlignment="1">
      <alignment horizontal="left" vertical="center"/>
    </xf>
    <xf numFmtId="49" fontId="17" fillId="0" borderId="44" xfId="8" applyNumberFormat="1" applyFont="1" applyBorder="1" applyAlignment="1">
      <alignment horizontal="left" vertical="center"/>
    </xf>
    <xf numFmtId="49" fontId="17" fillId="0" borderId="45" xfId="8" applyNumberFormat="1" applyFont="1" applyBorder="1" applyAlignment="1">
      <alignment horizontal="left" vertical="center"/>
    </xf>
    <xf numFmtId="49" fontId="17" fillId="0" borderId="34" xfId="8" applyNumberFormat="1" applyFont="1" applyBorder="1" applyAlignment="1">
      <alignment horizontal="left" vertical="center"/>
    </xf>
    <xf numFmtId="49" fontId="17" fillId="0" borderId="0" xfId="8" applyNumberFormat="1" applyFont="1" applyAlignment="1">
      <alignment horizontal="left" vertical="center"/>
    </xf>
    <xf numFmtId="49" fontId="17" fillId="0" borderId="12" xfId="8" applyNumberFormat="1" applyFont="1" applyBorder="1" applyAlignment="1">
      <alignment horizontal="left" vertical="center"/>
    </xf>
    <xf numFmtId="49" fontId="17" fillId="0" borderId="48" xfId="8" applyNumberFormat="1" applyFont="1" applyBorder="1" applyAlignment="1">
      <alignment horizontal="left" vertical="center"/>
    </xf>
    <xf numFmtId="49" fontId="17" fillId="0" borderId="10" xfId="8" applyNumberFormat="1" applyFont="1" applyBorder="1" applyAlignment="1">
      <alignment horizontal="left" vertical="center"/>
    </xf>
    <xf numFmtId="49" fontId="17" fillId="0" borderId="14" xfId="8" applyNumberFormat="1" applyFont="1" applyBorder="1" applyAlignment="1">
      <alignment horizontal="left" vertical="center"/>
    </xf>
    <xf numFmtId="49" fontId="17" fillId="0" borderId="46" xfId="8" applyNumberFormat="1" applyFont="1" applyBorder="1" applyAlignment="1">
      <alignment horizontal="left" vertical="center"/>
    </xf>
    <xf numFmtId="49" fontId="17" fillId="0" borderId="2" xfId="8" applyNumberFormat="1" applyFont="1" applyBorder="1" applyAlignment="1">
      <alignment horizontal="left" vertical="center"/>
    </xf>
    <xf numFmtId="49" fontId="17" fillId="0" borderId="13" xfId="8" applyNumberFormat="1" applyFont="1" applyBorder="1" applyAlignment="1">
      <alignment horizontal="left" vertical="center"/>
    </xf>
    <xf numFmtId="49" fontId="17" fillId="0" borderId="46" xfId="4" applyNumberFormat="1" applyFont="1" applyBorder="1" applyAlignment="1">
      <alignment horizontal="left" vertical="center"/>
    </xf>
    <xf numFmtId="49" fontId="17" fillId="0" borderId="45" xfId="4" applyNumberFormat="1" applyFont="1" applyBorder="1" applyAlignment="1">
      <alignment horizontal="left" vertical="center"/>
    </xf>
    <xf numFmtId="49" fontId="17" fillId="0" borderId="2" xfId="4" applyNumberFormat="1" applyFont="1" applyBorder="1" applyAlignment="1">
      <alignment horizontal="left" vertical="center"/>
    </xf>
    <xf numFmtId="49" fontId="17" fillId="0" borderId="12" xfId="4" applyNumberFormat="1" applyFont="1" applyBorder="1" applyAlignment="1">
      <alignment horizontal="left" vertical="center"/>
    </xf>
    <xf numFmtId="49" fontId="17" fillId="0" borderId="13" xfId="4" applyNumberFormat="1" applyFont="1" applyBorder="1" applyAlignment="1">
      <alignment horizontal="left" vertical="center"/>
    </xf>
    <xf numFmtId="49" fontId="17" fillId="0" borderId="14" xfId="4" applyNumberFormat="1" applyFont="1" applyBorder="1" applyAlignment="1">
      <alignment horizontal="left" vertical="center"/>
    </xf>
    <xf numFmtId="49" fontId="17" fillId="0" borderId="44" xfId="4" applyNumberFormat="1" applyFont="1" applyBorder="1" applyAlignment="1">
      <alignment horizontal="left" vertical="center"/>
    </xf>
    <xf numFmtId="49" fontId="17" fillId="0" borderId="0" xfId="4" applyNumberFormat="1" applyFont="1" applyAlignment="1">
      <alignment horizontal="left" vertical="center"/>
    </xf>
    <xf numFmtId="49" fontId="17" fillId="0" borderId="10" xfId="4" applyNumberFormat="1" applyFont="1" applyBorder="1" applyAlignment="1">
      <alignment horizontal="left" vertical="center"/>
    </xf>
    <xf numFmtId="49" fontId="17" fillId="0" borderId="47" xfId="4" applyNumberFormat="1" applyFont="1" applyBorder="1" applyAlignment="1">
      <alignment horizontal="left" vertical="center"/>
    </xf>
    <xf numFmtId="49" fontId="17" fillId="0" borderId="35" xfId="4" applyNumberFormat="1" applyFont="1" applyBorder="1" applyAlignment="1">
      <alignment horizontal="left" vertical="center"/>
    </xf>
    <xf numFmtId="49" fontId="17" fillId="0" borderId="49" xfId="4" applyNumberFormat="1" applyFont="1" applyBorder="1" applyAlignment="1">
      <alignment horizontal="left" vertical="center"/>
    </xf>
    <xf numFmtId="0" fontId="7" fillId="2" borderId="7" xfId="0" applyFont="1" applyFill="1" applyBorder="1" applyAlignment="1">
      <alignment horizontal="left" vertical="center"/>
    </xf>
    <xf numFmtId="0" fontId="7" fillId="2" borderId="9" xfId="0" applyFont="1" applyFill="1" applyBorder="1" applyAlignment="1">
      <alignment horizontal="left" vertical="center"/>
    </xf>
    <xf numFmtId="0" fontId="7" fillId="2" borderId="8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10" fillId="0" borderId="5" xfId="2" applyFont="1" applyBorder="1" applyAlignment="1">
      <alignment horizontal="left" vertical="center"/>
    </xf>
    <xf numFmtId="0" fontId="10" fillId="0" borderId="4" xfId="2" applyFont="1" applyBorder="1" applyAlignment="1">
      <alignment horizontal="left" vertical="center"/>
    </xf>
    <xf numFmtId="0" fontId="10" fillId="0" borderId="3" xfId="2" applyFont="1" applyBorder="1" applyAlignment="1">
      <alignment horizontal="left" vertical="center"/>
    </xf>
    <xf numFmtId="0" fontId="19" fillId="0" borderId="0" xfId="7" applyFont="1" applyAlignment="1">
      <alignment horizontal="left" vertical="center"/>
    </xf>
    <xf numFmtId="49" fontId="0" fillId="0" borderId="0" xfId="0" applyNumberFormat="1" applyFill="1" applyBorder="1">
      <alignment vertical="center"/>
    </xf>
  </cellXfs>
  <cellStyles count="9">
    <cellStyle name="標準" xfId="0" builtinId="0"/>
    <cellStyle name="標準 2" xfId="2" xr:uid="{29C1B244-1021-4332-8364-F6EA9C9F583D}"/>
    <cellStyle name="標準 3" xfId="1" xr:uid="{493A4929-E852-4AAC-AA32-C3AC4E178997}"/>
    <cellStyle name="標準 3 2" xfId="3" xr:uid="{E2D351F4-E9BB-4F5D-B70C-1819CE46D166}"/>
    <cellStyle name="標準_0001_基本フォーマット" xfId="4" xr:uid="{ADF20AA9-5632-4D8E-BDA7-A678CF8E3C3B}"/>
    <cellStyle name="標準_0001_基本フォーマット_SS1-2_画面処理内容説明書_a" xfId="7" xr:uid="{B31931E9-DC11-4890-BCAC-8A779BAD5FA2}"/>
    <cellStyle name="標準_0001_基本フォーマット_SS1-2_画面定義書_a" xfId="6" xr:uid="{07C15CFE-AB3B-4905-BDD5-3DF9D0AE91E2}"/>
    <cellStyle name="標準_１．業務処理内容説明書" xfId="5" xr:uid="{AB62627D-223F-4754-AB8D-2BBA89EE7F45}"/>
    <cellStyle name="標準_パラメータ設計書" xfId="8" xr:uid="{B270D9AA-6233-4917-96CF-A052F936CB53}"/>
  </cellStyles>
  <dxfs count="0"/>
  <tableStyles count="0" defaultTableStyle="TableStyleMedium2" defaultPivotStyle="PivotStyleLight16"/>
  <colors>
    <mruColors>
      <color rgb="FF8FF0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53789</xdr:colOff>
      <xdr:row>0</xdr:row>
      <xdr:rowOff>53788</xdr:rowOff>
    </xdr:from>
    <xdr:to>
      <xdr:col>5</xdr:col>
      <xdr:colOff>310092</xdr:colOff>
      <xdr:row>1</xdr:row>
      <xdr:rowOff>29551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3F35CA8-EEAD-4DB5-87A9-7311CF56C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789" y="53788"/>
          <a:ext cx="3618068" cy="2088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20274</xdr:colOff>
      <xdr:row>11</xdr:row>
      <xdr:rowOff>173038</xdr:rowOff>
    </xdr:from>
    <xdr:to>
      <xdr:col>17</xdr:col>
      <xdr:colOff>268619</xdr:colOff>
      <xdr:row>11</xdr:row>
      <xdr:rowOff>181895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BE5940FA-2FBE-4FA1-2B0E-F19B1E38EAD2}"/>
            </a:ext>
          </a:extLst>
        </xdr:cNvPr>
        <xdr:cNvCxnSpPr>
          <a:cxnSpLocks/>
          <a:stCxn id="8" idx="3"/>
          <a:endCxn id="9" idx="1"/>
        </xdr:cNvCxnSpPr>
      </xdr:nvCxnSpPr>
      <xdr:spPr>
        <a:xfrm>
          <a:off x="3058749" y="1887538"/>
          <a:ext cx="3010595" cy="8857"/>
        </a:xfrm>
        <a:prstGeom prst="straightConnector1">
          <a:avLst/>
        </a:prstGeom>
        <a:ln w="9525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6770</xdr:colOff>
      <xdr:row>9</xdr:row>
      <xdr:rowOff>190500</xdr:rowOff>
    </xdr:from>
    <xdr:to>
      <xdr:col>7</xdr:col>
      <xdr:colOff>20274</xdr:colOff>
      <xdr:row>13</xdr:row>
      <xdr:rowOff>117475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6E247EF7-1AF2-4CB8-B7B4-E9523396D12B}"/>
            </a:ext>
          </a:extLst>
        </xdr:cNvPr>
        <xdr:cNvSpPr/>
      </xdr:nvSpPr>
      <xdr:spPr>
        <a:xfrm>
          <a:off x="1664120" y="1466850"/>
          <a:ext cx="1394629" cy="84137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ログイン画面</a:t>
          </a:r>
          <a:b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（初期はお知らせ画面に遷移）</a:t>
          </a:r>
          <a:endParaRPr kumimoji="1" lang="en-US" altLang="ja-JP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268619</xdr:colOff>
      <xdr:row>10</xdr:row>
      <xdr:rowOff>1</xdr:rowOff>
    </xdr:from>
    <xdr:to>
      <xdr:col>23</xdr:col>
      <xdr:colOff>5896</xdr:colOff>
      <xdr:row>13</xdr:row>
      <xdr:rowOff>125664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03F1352A-2314-451E-9D17-EBC27EA82D28}"/>
            </a:ext>
          </a:extLst>
        </xdr:cNvPr>
        <xdr:cNvSpPr/>
      </xdr:nvSpPr>
      <xdr:spPr>
        <a:xfrm>
          <a:off x="6052474" y="1457441"/>
          <a:ext cx="1389808" cy="848645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ー</a:t>
          </a:r>
          <a:endParaRPr kumimoji="1" lang="en-US" altLang="ja-JP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サイドメニュー</a:t>
          </a:r>
          <a:endParaRPr kumimoji="1" lang="en-US" altLang="ja-JP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28</xdr:col>
      <xdr:colOff>172902</xdr:colOff>
      <xdr:row>22</xdr:row>
      <xdr:rowOff>11476</xdr:rowOff>
    </xdr:from>
    <xdr:to>
      <xdr:col>33</xdr:col>
      <xdr:colOff>266482</xdr:colOff>
      <xdr:row>25</xdr:row>
      <xdr:rowOff>137139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98E3B6AF-B4B4-407B-A465-87450B057800}"/>
            </a:ext>
          </a:extLst>
        </xdr:cNvPr>
        <xdr:cNvSpPr/>
      </xdr:nvSpPr>
      <xdr:spPr>
        <a:xfrm>
          <a:off x="8986396" y="4360843"/>
          <a:ext cx="1470688" cy="848645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+mn-ea"/>
              <a:ea typeface="+mn-ea"/>
            </a:rPr>
            <a:t>mrcr01</a:t>
          </a:r>
          <a:b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lang="ja-JP" altLang="ja-JP" sz="800">
              <a:latin typeface="Meiryo UI" panose="020B0604030504040204" pitchFamily="50" charset="-128"/>
              <a:ea typeface="Meiryo UI" panose="020B0604030504040204" pitchFamily="50" charset="-128"/>
            </a:rPr>
            <a:t>担当者別見える化レポート検索/ダウンロード画面</a:t>
          </a:r>
          <a:endParaRPr kumimoji="1" lang="ja-JP" altLang="en-US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oneCellAnchor>
    <xdr:from>
      <xdr:col>19</xdr:col>
      <xdr:colOff>187215</xdr:colOff>
      <xdr:row>33</xdr:row>
      <xdr:rowOff>0</xdr:rowOff>
    </xdr:from>
    <xdr:ext cx="168870" cy="261590"/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32428C38-B029-4D4B-9C31-B5EFD735AB61}"/>
            </a:ext>
          </a:extLst>
        </xdr:cNvPr>
        <xdr:cNvSpPr txBox="1"/>
      </xdr:nvSpPr>
      <xdr:spPr>
        <a:xfrm>
          <a:off x="6537215" y="8192750"/>
          <a:ext cx="168870" cy="2615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19</xdr:col>
      <xdr:colOff>87239</xdr:colOff>
      <xdr:row>33</xdr:row>
      <xdr:rowOff>0</xdr:rowOff>
    </xdr:from>
    <xdr:ext cx="184731" cy="264560"/>
    <xdr:sp macro="" textlink="">
      <xdr:nvSpPr>
        <xdr:cNvPr id="229" name="テキスト ボックス 228">
          <a:extLst>
            <a:ext uri="{FF2B5EF4-FFF2-40B4-BE49-F238E27FC236}">
              <a16:creationId xmlns:a16="http://schemas.microsoft.com/office/drawing/2014/main" id="{CB9ECFE9-986F-4491-B422-13555778A4AC}"/>
            </a:ext>
          </a:extLst>
        </xdr:cNvPr>
        <xdr:cNvSpPr txBox="1"/>
      </xdr:nvSpPr>
      <xdr:spPr>
        <a:xfrm>
          <a:off x="6437239" y="15249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19</xdr:col>
      <xdr:colOff>150150</xdr:colOff>
      <xdr:row>33</xdr:row>
      <xdr:rowOff>0</xdr:rowOff>
    </xdr:from>
    <xdr:ext cx="184731" cy="264560"/>
    <xdr:sp macro="" textlink="">
      <xdr:nvSpPr>
        <xdr:cNvPr id="272" name="テキスト ボックス 271">
          <a:extLst>
            <a:ext uri="{FF2B5EF4-FFF2-40B4-BE49-F238E27FC236}">
              <a16:creationId xmlns:a16="http://schemas.microsoft.com/office/drawing/2014/main" id="{1EF5597B-270C-4AAC-B0E6-5FC7BDE054DC}"/>
            </a:ext>
          </a:extLst>
        </xdr:cNvPr>
        <xdr:cNvSpPr txBox="1"/>
      </xdr:nvSpPr>
      <xdr:spPr>
        <a:xfrm>
          <a:off x="6357275" y="8862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>
    <xdr:from>
      <xdr:col>1</xdr:col>
      <xdr:colOff>26930</xdr:colOff>
      <xdr:row>16</xdr:row>
      <xdr:rowOff>26166</xdr:rowOff>
    </xdr:from>
    <xdr:to>
      <xdr:col>6</xdr:col>
      <xdr:colOff>120509</xdr:colOff>
      <xdr:row>19</xdr:row>
      <xdr:rowOff>151829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C5376505-8F31-4F77-ACFA-C16AEE10F06E}"/>
            </a:ext>
          </a:extLst>
        </xdr:cNvPr>
        <xdr:cNvSpPr/>
      </xdr:nvSpPr>
      <xdr:spPr>
        <a:xfrm>
          <a:off x="1404038" y="2929570"/>
          <a:ext cx="1470688" cy="848645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ja-JP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cmtp01</a:t>
          </a:r>
          <a:b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お知らせ画面</a:t>
          </a:r>
          <a:endParaRPr kumimoji="1" lang="en-US" altLang="ja-JP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18669</xdr:colOff>
      <xdr:row>16</xdr:row>
      <xdr:rowOff>17902</xdr:rowOff>
    </xdr:from>
    <xdr:to>
      <xdr:col>12</xdr:col>
      <xdr:colOff>112249</xdr:colOff>
      <xdr:row>19</xdr:row>
      <xdr:rowOff>143565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08D3EDE8-06F3-4749-8BA0-D2B74E4CD9C8}"/>
            </a:ext>
          </a:extLst>
        </xdr:cNvPr>
        <xdr:cNvSpPr/>
      </xdr:nvSpPr>
      <xdr:spPr>
        <a:xfrm>
          <a:off x="3048308" y="2921306"/>
          <a:ext cx="1470688" cy="848645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ja-JP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cmhp01</a:t>
          </a:r>
          <a:b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ヘルプ画面</a:t>
          </a:r>
          <a:endParaRPr kumimoji="1" lang="en-US" altLang="ja-JP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10404</xdr:colOff>
      <xdr:row>16</xdr:row>
      <xdr:rowOff>9639</xdr:rowOff>
    </xdr:from>
    <xdr:to>
      <xdr:col>18</xdr:col>
      <xdr:colOff>103984</xdr:colOff>
      <xdr:row>19</xdr:row>
      <xdr:rowOff>135302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EE458CDE-CD33-4495-8FB2-734C1945F94B}"/>
            </a:ext>
          </a:extLst>
        </xdr:cNvPr>
        <xdr:cNvSpPr/>
      </xdr:nvSpPr>
      <xdr:spPr>
        <a:xfrm>
          <a:off x="4692573" y="2913043"/>
          <a:ext cx="1470688" cy="848645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ja-JP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msog01</a:t>
          </a:r>
          <a:b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利用者組織マスタ管理画面</a:t>
          </a:r>
          <a:endParaRPr kumimoji="1" lang="en-US" altLang="ja-JP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185757</xdr:colOff>
      <xdr:row>16</xdr:row>
      <xdr:rowOff>24328</xdr:rowOff>
    </xdr:from>
    <xdr:to>
      <xdr:col>28</xdr:col>
      <xdr:colOff>3915</xdr:colOff>
      <xdr:row>19</xdr:row>
      <xdr:rowOff>149991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ECD912D3-0762-49BF-9290-0860DF0EF354}"/>
            </a:ext>
          </a:extLst>
        </xdr:cNvPr>
        <xdr:cNvSpPr/>
      </xdr:nvSpPr>
      <xdr:spPr>
        <a:xfrm>
          <a:off x="7346721" y="2927732"/>
          <a:ext cx="1470688" cy="848645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ja-JP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ebmg01</a:t>
          </a:r>
          <a:b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企業詳細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_CN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レポート</a:t>
          </a:r>
          <a:b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作成・管理画面</a:t>
          </a:r>
          <a:endParaRPr kumimoji="1" lang="en-US" altLang="ja-JP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28</xdr:col>
      <xdr:colOff>166018</xdr:colOff>
      <xdr:row>16</xdr:row>
      <xdr:rowOff>16065</xdr:rowOff>
    </xdr:from>
    <xdr:to>
      <xdr:col>33</xdr:col>
      <xdr:colOff>259598</xdr:colOff>
      <xdr:row>19</xdr:row>
      <xdr:rowOff>141728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513AD2B1-505E-439A-A6F7-66200B1068AF}"/>
            </a:ext>
          </a:extLst>
        </xdr:cNvPr>
        <xdr:cNvSpPr/>
      </xdr:nvSpPr>
      <xdr:spPr>
        <a:xfrm>
          <a:off x="8979512" y="2919469"/>
          <a:ext cx="1470688" cy="848645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ja-JP" sz="1100" b="0" i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msus01</a:t>
          </a:r>
          <a:b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ユーザ情報管理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編集画面</a:t>
          </a:r>
          <a:endParaRPr kumimoji="1" lang="en-US" altLang="ja-JP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20044</xdr:colOff>
      <xdr:row>22</xdr:row>
      <xdr:rowOff>7803</xdr:rowOff>
    </xdr:from>
    <xdr:to>
      <xdr:col>6</xdr:col>
      <xdr:colOff>113623</xdr:colOff>
      <xdr:row>25</xdr:row>
      <xdr:rowOff>133466</xdr:rowOff>
    </xdr:to>
    <xdr:sp macro="" textlink="">
      <xdr:nvSpPr>
        <xdr:cNvPr id="91" name="正方形/長方形 90">
          <a:extLst>
            <a:ext uri="{FF2B5EF4-FFF2-40B4-BE49-F238E27FC236}">
              <a16:creationId xmlns:a16="http://schemas.microsoft.com/office/drawing/2014/main" id="{A3FF3EA0-6D19-42B3-8803-D1FB7F4EAA66}"/>
            </a:ext>
          </a:extLst>
        </xdr:cNvPr>
        <xdr:cNvSpPr/>
      </xdr:nvSpPr>
      <xdr:spPr>
        <a:xfrm>
          <a:off x="1397152" y="4357170"/>
          <a:ext cx="1470688" cy="848645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msus01</a:t>
          </a:r>
          <a:b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ユーザ情報管理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編集画面</a:t>
          </a:r>
          <a:endParaRPr kumimoji="1" lang="en-US" altLang="ja-JP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10407</xdr:colOff>
      <xdr:row>22</xdr:row>
      <xdr:rowOff>9640</xdr:rowOff>
    </xdr:from>
    <xdr:to>
      <xdr:col>12</xdr:col>
      <xdr:colOff>103987</xdr:colOff>
      <xdr:row>25</xdr:row>
      <xdr:rowOff>135303</xdr:rowOff>
    </xdr:to>
    <xdr:sp macro="" textlink="">
      <xdr:nvSpPr>
        <xdr:cNvPr id="97" name="正方形/長方形 96">
          <a:extLst>
            <a:ext uri="{FF2B5EF4-FFF2-40B4-BE49-F238E27FC236}">
              <a16:creationId xmlns:a16="http://schemas.microsoft.com/office/drawing/2014/main" id="{2F272CA1-C5D6-4269-A6BA-CF43D82E17C4}"/>
            </a:ext>
          </a:extLst>
        </xdr:cNvPr>
        <xdr:cNvSpPr/>
      </xdr:nvSpPr>
      <xdr:spPr>
        <a:xfrm>
          <a:off x="3040046" y="4359007"/>
          <a:ext cx="1470688" cy="848645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ja-JP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msmg01</a:t>
          </a:r>
          <a:b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担当者設定情報管理画面</a:t>
          </a:r>
          <a:endParaRPr kumimoji="1" lang="en-US" altLang="ja-JP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2142</xdr:colOff>
      <xdr:row>22</xdr:row>
      <xdr:rowOff>1377</xdr:rowOff>
    </xdr:from>
    <xdr:to>
      <xdr:col>18</xdr:col>
      <xdr:colOff>95722</xdr:colOff>
      <xdr:row>25</xdr:row>
      <xdr:rowOff>127040</xdr:rowOff>
    </xdr:to>
    <xdr:sp macro="" textlink="">
      <xdr:nvSpPr>
        <xdr:cNvPr id="98" name="正方形/長方形 97">
          <a:extLst>
            <a:ext uri="{FF2B5EF4-FFF2-40B4-BE49-F238E27FC236}">
              <a16:creationId xmlns:a16="http://schemas.microsoft.com/office/drawing/2014/main" id="{8147A5B4-297E-40F4-B7FC-E5CBA7434D0E}"/>
            </a:ext>
          </a:extLst>
        </xdr:cNvPr>
        <xdr:cNvSpPr/>
      </xdr:nvSpPr>
      <xdr:spPr>
        <a:xfrm>
          <a:off x="4684311" y="4350744"/>
          <a:ext cx="1470688" cy="848645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ja-JP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mscs01</a:t>
          </a:r>
          <a:b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お客さま企業マスタ管理画面</a:t>
          </a:r>
          <a:endParaRPr kumimoji="1" lang="en-US" altLang="ja-JP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177495</xdr:colOff>
      <xdr:row>22</xdr:row>
      <xdr:rowOff>16066</xdr:rowOff>
    </xdr:from>
    <xdr:to>
      <xdr:col>27</xdr:col>
      <xdr:colOff>271075</xdr:colOff>
      <xdr:row>25</xdr:row>
      <xdr:rowOff>141729</xdr:rowOff>
    </xdr:to>
    <xdr:sp macro="" textlink="">
      <xdr:nvSpPr>
        <xdr:cNvPr id="99" name="正方形/長方形 98">
          <a:extLst>
            <a:ext uri="{FF2B5EF4-FFF2-40B4-BE49-F238E27FC236}">
              <a16:creationId xmlns:a16="http://schemas.microsoft.com/office/drawing/2014/main" id="{9FEF2947-9FAB-4385-B7B2-BFE483F88577}"/>
            </a:ext>
          </a:extLst>
        </xdr:cNvPr>
        <xdr:cNvSpPr/>
      </xdr:nvSpPr>
      <xdr:spPr>
        <a:xfrm>
          <a:off x="7338459" y="4365433"/>
          <a:ext cx="1470688" cy="848645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ja-JP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ebmv0</a:t>
          </a: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b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30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分値データ登録画面</a:t>
          </a:r>
          <a:endParaRPr kumimoji="1" lang="en-US" altLang="ja-JP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34</xdr:col>
      <xdr:colOff>172445</xdr:colOff>
      <xdr:row>22</xdr:row>
      <xdr:rowOff>22492</xdr:rowOff>
    </xdr:from>
    <xdr:to>
      <xdr:col>39</xdr:col>
      <xdr:colOff>266024</xdr:colOff>
      <xdr:row>25</xdr:row>
      <xdr:rowOff>148155</xdr:rowOff>
    </xdr:to>
    <xdr:sp macro="" textlink="">
      <xdr:nvSpPr>
        <xdr:cNvPr id="101" name="正方形/長方形 100">
          <a:extLst>
            <a:ext uri="{FF2B5EF4-FFF2-40B4-BE49-F238E27FC236}">
              <a16:creationId xmlns:a16="http://schemas.microsoft.com/office/drawing/2014/main" id="{BED4D21C-1AA0-4D67-8BF8-CD9A8029545B}"/>
            </a:ext>
          </a:extLst>
        </xdr:cNvPr>
        <xdr:cNvSpPr/>
      </xdr:nvSpPr>
      <xdr:spPr>
        <a:xfrm>
          <a:off x="10638469" y="4371859"/>
          <a:ext cx="1470688" cy="848645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ja-JP" sz="1100" b="0" i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coer01</a:t>
          </a:r>
          <a:b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エネルギデータ集計画面</a:t>
          </a:r>
          <a:endParaRPr kumimoji="1" lang="en-US" altLang="ja-JP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137259</xdr:colOff>
      <xdr:row>13</xdr:row>
      <xdr:rowOff>125663</xdr:rowOff>
    </xdr:from>
    <xdr:to>
      <xdr:col>31</xdr:col>
      <xdr:colOff>75098</xdr:colOff>
      <xdr:row>16</xdr:row>
      <xdr:rowOff>16064</xdr:rowOff>
    </xdr:to>
    <xdr:cxnSp macro="">
      <xdr:nvCxnSpPr>
        <xdr:cNvPr id="111" name="コネクタ: カギ線 110">
          <a:extLst>
            <a:ext uri="{FF2B5EF4-FFF2-40B4-BE49-F238E27FC236}">
              <a16:creationId xmlns:a16="http://schemas.microsoft.com/office/drawing/2014/main" id="{66E60028-A573-0C4B-FD76-54BB81A039AF}"/>
            </a:ext>
          </a:extLst>
        </xdr:cNvPr>
        <xdr:cNvCxnSpPr>
          <a:stCxn id="9" idx="2"/>
          <a:endCxn id="29" idx="0"/>
        </xdr:cNvCxnSpPr>
      </xdr:nvCxnSpPr>
      <xdr:spPr>
        <a:xfrm rot="16200000" flipH="1">
          <a:off x="7924426" y="1129038"/>
          <a:ext cx="613383" cy="2967478"/>
        </a:xfrm>
        <a:prstGeom prst="bentConnector3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211430</xdr:colOff>
      <xdr:row>13</xdr:row>
      <xdr:rowOff>125664</xdr:rowOff>
    </xdr:from>
    <xdr:to>
      <xdr:col>20</xdr:col>
      <xdr:colOff>137258</xdr:colOff>
      <xdr:row>16</xdr:row>
      <xdr:rowOff>26166</xdr:rowOff>
    </xdr:to>
    <xdr:cxnSp macro="">
      <xdr:nvCxnSpPr>
        <xdr:cNvPr id="115" name="コネクタ: カギ線 114">
          <a:extLst>
            <a:ext uri="{FF2B5EF4-FFF2-40B4-BE49-F238E27FC236}">
              <a16:creationId xmlns:a16="http://schemas.microsoft.com/office/drawing/2014/main" id="{A53FF8C9-F518-DD4F-5A80-C49E3049641D}"/>
            </a:ext>
          </a:extLst>
        </xdr:cNvPr>
        <xdr:cNvCxnSpPr>
          <a:stCxn id="9" idx="2"/>
          <a:endCxn id="22" idx="0"/>
        </xdr:cNvCxnSpPr>
      </xdr:nvCxnSpPr>
      <xdr:spPr>
        <a:xfrm rot="5400000">
          <a:off x="4131638" y="313830"/>
          <a:ext cx="623484" cy="4607996"/>
        </a:xfrm>
        <a:prstGeom prst="bentConnector3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203170</xdr:colOff>
      <xdr:row>13</xdr:row>
      <xdr:rowOff>125664</xdr:rowOff>
    </xdr:from>
    <xdr:to>
      <xdr:col>20</xdr:col>
      <xdr:colOff>137258</xdr:colOff>
      <xdr:row>16</xdr:row>
      <xdr:rowOff>17902</xdr:rowOff>
    </xdr:to>
    <xdr:cxnSp macro="">
      <xdr:nvCxnSpPr>
        <xdr:cNvPr id="117" name="コネクタ: カギ線 116">
          <a:extLst>
            <a:ext uri="{FF2B5EF4-FFF2-40B4-BE49-F238E27FC236}">
              <a16:creationId xmlns:a16="http://schemas.microsoft.com/office/drawing/2014/main" id="{ECAF2E4B-01CA-87E3-925E-664BF54E9A3D}"/>
            </a:ext>
          </a:extLst>
        </xdr:cNvPr>
        <xdr:cNvCxnSpPr>
          <a:stCxn id="9" idx="2"/>
          <a:endCxn id="23" idx="0"/>
        </xdr:cNvCxnSpPr>
      </xdr:nvCxnSpPr>
      <xdr:spPr>
        <a:xfrm rot="5400000">
          <a:off x="4957905" y="1131833"/>
          <a:ext cx="615220" cy="2963726"/>
        </a:xfrm>
        <a:prstGeom prst="bentConnector3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194906</xdr:colOff>
      <xdr:row>13</xdr:row>
      <xdr:rowOff>125664</xdr:rowOff>
    </xdr:from>
    <xdr:to>
      <xdr:col>20</xdr:col>
      <xdr:colOff>137259</xdr:colOff>
      <xdr:row>16</xdr:row>
      <xdr:rowOff>9639</xdr:rowOff>
    </xdr:to>
    <xdr:cxnSp macro="">
      <xdr:nvCxnSpPr>
        <xdr:cNvPr id="119" name="コネクタ: カギ線 118">
          <a:extLst>
            <a:ext uri="{FF2B5EF4-FFF2-40B4-BE49-F238E27FC236}">
              <a16:creationId xmlns:a16="http://schemas.microsoft.com/office/drawing/2014/main" id="{C3724499-AB9E-7A67-748E-78695A7FBDF3}"/>
            </a:ext>
          </a:extLst>
        </xdr:cNvPr>
        <xdr:cNvCxnSpPr>
          <a:stCxn id="9" idx="2"/>
          <a:endCxn id="25" idx="0"/>
        </xdr:cNvCxnSpPr>
      </xdr:nvCxnSpPr>
      <xdr:spPr>
        <a:xfrm rot="5400000">
          <a:off x="5784170" y="1949834"/>
          <a:ext cx="606957" cy="1319461"/>
        </a:xfrm>
        <a:prstGeom prst="bentConnector3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137257</xdr:colOff>
      <xdr:row>13</xdr:row>
      <xdr:rowOff>125664</xdr:rowOff>
    </xdr:from>
    <xdr:to>
      <xdr:col>25</xdr:col>
      <xdr:colOff>94835</xdr:colOff>
      <xdr:row>16</xdr:row>
      <xdr:rowOff>24328</xdr:rowOff>
    </xdr:to>
    <xdr:cxnSp macro="">
      <xdr:nvCxnSpPr>
        <xdr:cNvPr id="121" name="コネクタ: カギ線 120">
          <a:extLst>
            <a:ext uri="{FF2B5EF4-FFF2-40B4-BE49-F238E27FC236}">
              <a16:creationId xmlns:a16="http://schemas.microsoft.com/office/drawing/2014/main" id="{DFFFC448-7858-98A1-6382-6DA18443DFD1}"/>
            </a:ext>
          </a:extLst>
        </xdr:cNvPr>
        <xdr:cNvCxnSpPr>
          <a:stCxn id="9" idx="2"/>
          <a:endCxn id="27" idx="0"/>
        </xdr:cNvCxnSpPr>
      </xdr:nvCxnSpPr>
      <xdr:spPr>
        <a:xfrm rot="16200000" flipH="1">
          <a:off x="7103898" y="1949565"/>
          <a:ext cx="621646" cy="1334687"/>
        </a:xfrm>
        <a:prstGeom prst="bentConnector3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204544</xdr:colOff>
      <xdr:row>13</xdr:row>
      <xdr:rowOff>125664</xdr:rowOff>
    </xdr:from>
    <xdr:to>
      <xdr:col>20</xdr:col>
      <xdr:colOff>137258</xdr:colOff>
      <xdr:row>22</xdr:row>
      <xdr:rowOff>7803</xdr:rowOff>
    </xdr:to>
    <xdr:cxnSp macro="">
      <xdr:nvCxnSpPr>
        <xdr:cNvPr id="123" name="コネクタ: カギ線 122">
          <a:extLst>
            <a:ext uri="{FF2B5EF4-FFF2-40B4-BE49-F238E27FC236}">
              <a16:creationId xmlns:a16="http://schemas.microsoft.com/office/drawing/2014/main" id="{24825F05-ABFF-0251-42ED-4F7930A4C846}"/>
            </a:ext>
          </a:extLst>
        </xdr:cNvPr>
        <xdr:cNvCxnSpPr>
          <a:stCxn id="9" idx="2"/>
          <a:endCxn id="91" idx="0"/>
        </xdr:cNvCxnSpPr>
      </xdr:nvCxnSpPr>
      <xdr:spPr>
        <a:xfrm rot="5400000">
          <a:off x="3414395" y="1024187"/>
          <a:ext cx="2051084" cy="4614882"/>
        </a:xfrm>
        <a:prstGeom prst="bentConnector3">
          <a:avLst>
            <a:gd name="adj1" fmla="val 87487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194909</xdr:colOff>
      <xdr:row>13</xdr:row>
      <xdr:rowOff>125663</xdr:rowOff>
    </xdr:from>
    <xdr:to>
      <xdr:col>20</xdr:col>
      <xdr:colOff>137259</xdr:colOff>
      <xdr:row>22</xdr:row>
      <xdr:rowOff>9639</xdr:rowOff>
    </xdr:to>
    <xdr:cxnSp macro="">
      <xdr:nvCxnSpPr>
        <xdr:cNvPr id="126" name="コネクタ: カギ線 125">
          <a:extLst>
            <a:ext uri="{FF2B5EF4-FFF2-40B4-BE49-F238E27FC236}">
              <a16:creationId xmlns:a16="http://schemas.microsoft.com/office/drawing/2014/main" id="{D3FDC169-CBCC-F647-856B-EC431ADC0069}"/>
            </a:ext>
          </a:extLst>
        </xdr:cNvPr>
        <xdr:cNvCxnSpPr>
          <a:stCxn id="9" idx="2"/>
          <a:endCxn id="97" idx="0"/>
        </xdr:cNvCxnSpPr>
      </xdr:nvCxnSpPr>
      <xdr:spPr>
        <a:xfrm rot="5400000">
          <a:off x="4234924" y="1846552"/>
          <a:ext cx="2052921" cy="2971988"/>
        </a:xfrm>
        <a:prstGeom prst="bentConnector3">
          <a:avLst>
            <a:gd name="adj1" fmla="val 87453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186643</xdr:colOff>
      <xdr:row>13</xdr:row>
      <xdr:rowOff>125665</xdr:rowOff>
    </xdr:from>
    <xdr:to>
      <xdr:col>20</xdr:col>
      <xdr:colOff>137258</xdr:colOff>
      <xdr:row>22</xdr:row>
      <xdr:rowOff>1378</xdr:rowOff>
    </xdr:to>
    <xdr:cxnSp macro="">
      <xdr:nvCxnSpPr>
        <xdr:cNvPr id="193" name="コネクタ: カギ線 192">
          <a:extLst>
            <a:ext uri="{FF2B5EF4-FFF2-40B4-BE49-F238E27FC236}">
              <a16:creationId xmlns:a16="http://schemas.microsoft.com/office/drawing/2014/main" id="{8F722AB8-A2E5-A0A2-5E01-A2D094C48DAB}"/>
            </a:ext>
          </a:extLst>
        </xdr:cNvPr>
        <xdr:cNvCxnSpPr>
          <a:stCxn id="9" idx="2"/>
          <a:endCxn id="98" idx="0"/>
        </xdr:cNvCxnSpPr>
      </xdr:nvCxnSpPr>
      <xdr:spPr>
        <a:xfrm rot="5400000">
          <a:off x="5061188" y="2664554"/>
          <a:ext cx="2044658" cy="1327723"/>
        </a:xfrm>
        <a:prstGeom prst="bentConnector3">
          <a:avLst>
            <a:gd name="adj1" fmla="val 87605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137258</xdr:colOff>
      <xdr:row>13</xdr:row>
      <xdr:rowOff>125663</xdr:rowOff>
    </xdr:from>
    <xdr:to>
      <xdr:col>25</xdr:col>
      <xdr:colOff>86574</xdr:colOff>
      <xdr:row>22</xdr:row>
      <xdr:rowOff>16065</xdr:rowOff>
    </xdr:to>
    <xdr:cxnSp macro="">
      <xdr:nvCxnSpPr>
        <xdr:cNvPr id="196" name="コネクタ: カギ線 195">
          <a:extLst>
            <a:ext uri="{FF2B5EF4-FFF2-40B4-BE49-F238E27FC236}">
              <a16:creationId xmlns:a16="http://schemas.microsoft.com/office/drawing/2014/main" id="{0BF0DEB7-3299-73A3-2E23-6300CC6A91FB}"/>
            </a:ext>
          </a:extLst>
        </xdr:cNvPr>
        <xdr:cNvCxnSpPr>
          <a:stCxn id="9" idx="2"/>
          <a:endCxn id="99" idx="0"/>
        </xdr:cNvCxnSpPr>
      </xdr:nvCxnSpPr>
      <xdr:spPr>
        <a:xfrm rot="16200000" flipH="1">
          <a:off x="6380917" y="2672546"/>
          <a:ext cx="2059347" cy="1326425"/>
        </a:xfrm>
        <a:prstGeom prst="bentConnector3">
          <a:avLst>
            <a:gd name="adj1" fmla="val 87716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137259</xdr:colOff>
      <xdr:row>13</xdr:row>
      <xdr:rowOff>125663</xdr:rowOff>
    </xdr:from>
    <xdr:to>
      <xdr:col>31</xdr:col>
      <xdr:colOff>81982</xdr:colOff>
      <xdr:row>22</xdr:row>
      <xdr:rowOff>11475</xdr:rowOff>
    </xdr:to>
    <xdr:cxnSp macro="">
      <xdr:nvCxnSpPr>
        <xdr:cNvPr id="199" name="コネクタ: カギ線 198">
          <a:extLst>
            <a:ext uri="{FF2B5EF4-FFF2-40B4-BE49-F238E27FC236}">
              <a16:creationId xmlns:a16="http://schemas.microsoft.com/office/drawing/2014/main" id="{4C64054B-EA62-88F2-B244-F722B5636633}"/>
            </a:ext>
          </a:extLst>
        </xdr:cNvPr>
        <xdr:cNvCxnSpPr>
          <a:stCxn id="9" idx="2"/>
          <a:endCxn id="12" idx="0"/>
        </xdr:cNvCxnSpPr>
      </xdr:nvCxnSpPr>
      <xdr:spPr>
        <a:xfrm rot="16200000" flipH="1">
          <a:off x="7207181" y="1846283"/>
          <a:ext cx="2054757" cy="2974362"/>
        </a:xfrm>
        <a:prstGeom prst="bentConnector3">
          <a:avLst>
            <a:gd name="adj1" fmla="val 87711"/>
          </a:avLst>
        </a:prstGeom>
        <a:ln>
          <a:solidFill>
            <a:srgbClr val="FF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137258</xdr:colOff>
      <xdr:row>13</xdr:row>
      <xdr:rowOff>125663</xdr:rowOff>
    </xdr:from>
    <xdr:to>
      <xdr:col>37</xdr:col>
      <xdr:colOff>81524</xdr:colOff>
      <xdr:row>22</xdr:row>
      <xdr:rowOff>22491</xdr:rowOff>
    </xdr:to>
    <xdr:cxnSp macro="">
      <xdr:nvCxnSpPr>
        <xdr:cNvPr id="201" name="コネクタ: カギ線 200">
          <a:extLst>
            <a:ext uri="{FF2B5EF4-FFF2-40B4-BE49-F238E27FC236}">
              <a16:creationId xmlns:a16="http://schemas.microsoft.com/office/drawing/2014/main" id="{4DB259B9-F1B0-9C98-B8ED-FB5476CF7F3B}"/>
            </a:ext>
          </a:extLst>
        </xdr:cNvPr>
        <xdr:cNvCxnSpPr>
          <a:stCxn id="9" idx="2"/>
          <a:endCxn id="101" idx="0"/>
        </xdr:cNvCxnSpPr>
      </xdr:nvCxnSpPr>
      <xdr:spPr>
        <a:xfrm rot="16200000" flipH="1">
          <a:off x="8027709" y="1025754"/>
          <a:ext cx="2065773" cy="4626435"/>
        </a:xfrm>
        <a:prstGeom prst="bentConnector3">
          <a:avLst>
            <a:gd name="adj1" fmla="val 86576"/>
          </a:avLst>
        </a:prstGeom>
        <a:ln>
          <a:solidFill>
            <a:srgbClr val="FF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25</xdr:col>
      <xdr:colOff>0</xdr:colOff>
      <xdr:row>10</xdr:row>
      <xdr:rowOff>0</xdr:rowOff>
    </xdr:from>
    <xdr:to>
      <xdr:col>26</xdr:col>
      <xdr:colOff>28576</xdr:colOff>
      <xdr:row>11</xdr:row>
      <xdr:rowOff>66675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CCF25EF1-2E4B-57C8-3CDF-2C51C907DEA6}"/>
            </a:ext>
          </a:extLst>
        </xdr:cNvPr>
        <xdr:cNvSpPr>
          <a:spLocks noChangeAspect="1" noChangeArrowheads="1"/>
        </xdr:cNvSpPr>
      </xdr:nvSpPr>
      <xdr:spPr bwMode="auto">
        <a:xfrm>
          <a:off x="8010525" y="147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226785</xdr:colOff>
      <xdr:row>27</xdr:row>
      <xdr:rowOff>105832</xdr:rowOff>
    </xdr:from>
    <xdr:to>
      <xdr:col>39</xdr:col>
      <xdr:colOff>176892</xdr:colOff>
      <xdr:row>32</xdr:row>
      <xdr:rowOff>188987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3874A94-EC3D-4050-BED5-FE64CF97E0E9}"/>
            </a:ext>
          </a:extLst>
        </xdr:cNvPr>
        <xdr:cNvSpPr/>
      </xdr:nvSpPr>
      <xdr:spPr>
        <a:xfrm>
          <a:off x="1315356" y="6664475"/>
          <a:ext cx="10563679" cy="1103691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noAutofit/>
        </a:bodyPr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76060</xdr:colOff>
      <xdr:row>30</xdr:row>
      <xdr:rowOff>7246</xdr:rowOff>
    </xdr:from>
    <xdr:to>
      <xdr:col>8</xdr:col>
      <xdr:colOff>76061</xdr:colOff>
      <xdr:row>31</xdr:row>
      <xdr:rowOff>45346</xdr:rowOff>
    </xdr:to>
    <xdr:sp macro="" textlink="">
      <xdr:nvSpPr>
        <xdr:cNvPr id="3" name="Text Box 19">
          <a:extLst>
            <a:ext uri="{FF2B5EF4-FFF2-40B4-BE49-F238E27FC236}">
              <a16:creationId xmlns:a16="http://schemas.microsoft.com/office/drawing/2014/main" id="{11AA7E47-F181-41F7-ABB6-A5FC29BDEC68}"/>
            </a:ext>
          </a:extLst>
        </xdr:cNvPr>
        <xdr:cNvSpPr txBox="1">
          <a:spLocks noChangeArrowheads="1"/>
        </xdr:cNvSpPr>
      </xdr:nvSpPr>
      <xdr:spPr bwMode="auto">
        <a:xfrm>
          <a:off x="2819260" y="4952626"/>
          <a:ext cx="548641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overflow" horzOverflow="overflow" wrap="none" lIns="18288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画面</a:t>
          </a:r>
        </a:p>
      </xdr:txBody>
    </xdr:sp>
    <xdr:clientData/>
  </xdr:twoCellAnchor>
  <xdr:twoCellAnchor>
    <xdr:from>
      <xdr:col>2</xdr:col>
      <xdr:colOff>78382</xdr:colOff>
      <xdr:row>29</xdr:row>
      <xdr:rowOff>43272</xdr:rowOff>
    </xdr:from>
    <xdr:to>
      <xdr:col>6</xdr:col>
      <xdr:colOff>18911</xdr:colOff>
      <xdr:row>31</xdr:row>
      <xdr:rowOff>155071</xdr:rowOff>
    </xdr:to>
    <xdr:sp macro="" textlink="">
      <xdr:nvSpPr>
        <xdr:cNvPr id="5" name="Rectangle 20">
          <a:extLst>
            <a:ext uri="{FF2B5EF4-FFF2-40B4-BE49-F238E27FC236}">
              <a16:creationId xmlns:a16="http://schemas.microsoft.com/office/drawing/2014/main" id="{FCDEF21A-FB12-4B0D-8BA6-6C34B82770B1}"/>
            </a:ext>
          </a:extLst>
        </xdr:cNvPr>
        <xdr:cNvSpPr>
          <a:spLocks noChangeArrowheads="1"/>
        </xdr:cNvSpPr>
      </xdr:nvSpPr>
      <xdr:spPr bwMode="auto">
        <a:xfrm>
          <a:off x="1724302" y="4798152"/>
          <a:ext cx="1037809" cy="492799"/>
        </a:xfrm>
        <a:prstGeom prst="rect">
          <a:avLst/>
        </a:prstGeom>
        <a:solidFill>
          <a:schemeClr val="bg1"/>
        </a:solidFill>
        <a:ln w="9525">
          <a:solidFill>
            <a:sysClr val="windowText" lastClr="000000"/>
          </a:solidFill>
          <a:miter lim="800000"/>
          <a:headEnd/>
          <a:tailEnd/>
        </a:ln>
      </xdr:spPr>
      <xdr:txBody>
        <a:bodyPr vertOverflow="overflow" horzOverflow="overflow" wrap="none" lIns="27432" tIns="18288" rIns="0" bIns="0" anchor="ctr" upright="1">
          <a:noAutofit/>
        </a:bodyPr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画面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画面名</a:t>
          </a:r>
        </a:p>
      </xdr:txBody>
    </xdr:sp>
    <xdr:clientData/>
  </xdr:twoCellAnchor>
  <xdr:twoCellAnchor>
    <xdr:from>
      <xdr:col>16</xdr:col>
      <xdr:colOff>191772</xdr:colOff>
      <xdr:row>29</xdr:row>
      <xdr:rowOff>58079</xdr:rowOff>
    </xdr:from>
    <xdr:to>
      <xdr:col>20</xdr:col>
      <xdr:colOff>132302</xdr:colOff>
      <xdr:row>31</xdr:row>
      <xdr:rowOff>136186</xdr:rowOff>
    </xdr:to>
    <xdr:sp macro="" textlink="">
      <xdr:nvSpPr>
        <xdr:cNvPr id="6" name="AutoShape 22">
          <a:extLst>
            <a:ext uri="{FF2B5EF4-FFF2-40B4-BE49-F238E27FC236}">
              <a16:creationId xmlns:a16="http://schemas.microsoft.com/office/drawing/2014/main" id="{063A089B-3658-4784-907D-D7174E632351}"/>
            </a:ext>
          </a:extLst>
        </xdr:cNvPr>
        <xdr:cNvSpPr>
          <a:spLocks noChangeArrowheads="1"/>
        </xdr:cNvSpPr>
      </xdr:nvSpPr>
      <xdr:spPr bwMode="auto">
        <a:xfrm>
          <a:off x="5678172" y="4812959"/>
          <a:ext cx="1037810" cy="459107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  <xdr:txBody>
        <a:bodyPr vertOverflow="overflow" horzOverflow="overflow" wrap="none" lIns="0" tIns="0" anchor="ctr">
          <a:noAutofit/>
        </a:bodyPr>
        <a:lstStyle/>
        <a:p>
          <a:pPr algn="ctr" fontAlgn="b"/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APIID</a:t>
          </a:r>
        </a:p>
        <a:p>
          <a:pPr algn="ctr" fontAlgn="b"/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名</a:t>
          </a:r>
        </a:p>
      </xdr:txBody>
    </xdr:sp>
    <xdr:clientData/>
  </xdr:twoCellAnchor>
  <xdr:twoCellAnchor>
    <xdr:from>
      <xdr:col>20</xdr:col>
      <xdr:colOff>132302</xdr:colOff>
      <xdr:row>30</xdr:row>
      <xdr:rowOff>17329</xdr:rowOff>
    </xdr:from>
    <xdr:to>
      <xdr:col>23</xdr:col>
      <xdr:colOff>147957</xdr:colOff>
      <xdr:row>31</xdr:row>
      <xdr:rowOff>56424</xdr:rowOff>
    </xdr:to>
    <xdr:sp macro="" textlink="">
      <xdr:nvSpPr>
        <xdr:cNvPr id="7" name="Text Box 23">
          <a:extLst>
            <a:ext uri="{FF2B5EF4-FFF2-40B4-BE49-F238E27FC236}">
              <a16:creationId xmlns:a16="http://schemas.microsoft.com/office/drawing/2014/main" id="{737CFB57-9434-4004-83D2-7C2607FFE450}"/>
            </a:ext>
          </a:extLst>
        </xdr:cNvPr>
        <xdr:cNvSpPr txBox="1">
          <a:spLocks noChangeArrowheads="1"/>
        </xdr:cNvSpPr>
      </xdr:nvSpPr>
      <xdr:spPr bwMode="auto">
        <a:xfrm>
          <a:off x="6715982" y="4962709"/>
          <a:ext cx="838615" cy="2295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overflow" horzOverflow="overflow" wrap="none" lIns="18288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endParaRPr lang="ja-JP" altLang="en-US" sz="8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23254</xdr:colOff>
      <xdr:row>29</xdr:row>
      <xdr:rowOff>46090</xdr:rowOff>
    </xdr:from>
    <xdr:to>
      <xdr:col>13</xdr:col>
      <xdr:colOff>11408</xdr:colOff>
      <xdr:row>31</xdr:row>
      <xdr:rowOff>157887</xdr:rowOff>
    </xdr:to>
    <xdr:sp macro="" textlink="">
      <xdr:nvSpPr>
        <xdr:cNvPr id="10" name="AutoShape 139">
          <a:extLst>
            <a:ext uri="{FF2B5EF4-FFF2-40B4-BE49-F238E27FC236}">
              <a16:creationId xmlns:a16="http://schemas.microsoft.com/office/drawing/2014/main" id="{F9CF41AC-345C-44E4-B125-CD86B278EBC0}"/>
            </a:ext>
          </a:extLst>
        </xdr:cNvPr>
        <xdr:cNvSpPr>
          <a:spLocks noChangeArrowheads="1"/>
        </xdr:cNvSpPr>
      </xdr:nvSpPr>
      <xdr:spPr bwMode="auto">
        <a:xfrm>
          <a:off x="3589414" y="4800970"/>
          <a:ext cx="1085434" cy="492797"/>
        </a:xfrm>
        <a:prstGeom prst="flowChartOnlineStorage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overflow" horzOverflow="overflow" wrap="none" lIns="27432" tIns="18288" rIns="0" bIns="18288" anchor="ctr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ファイル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endParaRPr lang="ja-JP" altLang="en-US" sz="8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ファイル名</a:t>
          </a:r>
        </a:p>
      </xdr:txBody>
    </xdr:sp>
    <xdr:clientData/>
  </xdr:twoCellAnchor>
  <xdr:twoCellAnchor>
    <xdr:from>
      <xdr:col>13</xdr:col>
      <xdr:colOff>11408</xdr:colOff>
      <xdr:row>30</xdr:row>
      <xdr:rowOff>3430</xdr:rowOff>
    </xdr:from>
    <xdr:to>
      <xdr:col>14</xdr:col>
      <xdr:colOff>236199</xdr:colOff>
      <xdr:row>31</xdr:row>
      <xdr:rowOff>7495</xdr:rowOff>
    </xdr:to>
    <xdr:sp macro="" textlink="">
      <xdr:nvSpPr>
        <xdr:cNvPr id="11" name="Text Box 142">
          <a:extLst>
            <a:ext uri="{FF2B5EF4-FFF2-40B4-BE49-F238E27FC236}">
              <a16:creationId xmlns:a16="http://schemas.microsoft.com/office/drawing/2014/main" id="{348EF1B0-FF0D-474B-B2F3-20BF2866E966}"/>
            </a:ext>
          </a:extLst>
        </xdr:cNvPr>
        <xdr:cNvSpPr txBox="1">
          <a:spLocks noChangeArrowheads="1"/>
        </xdr:cNvSpPr>
      </xdr:nvSpPr>
      <xdr:spPr bwMode="auto">
        <a:xfrm>
          <a:off x="4674848" y="4948810"/>
          <a:ext cx="499111" cy="1945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overflow" horzOverflow="overflow" wrap="none" lIns="18288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ファイル</a:t>
          </a:r>
        </a:p>
      </xdr:txBody>
    </xdr:sp>
    <xdr:clientData/>
  </xdr:twoCellAnchor>
  <xdr:twoCellAnchor>
    <xdr:from>
      <xdr:col>0</xdr:col>
      <xdr:colOff>90710</xdr:colOff>
      <xdr:row>26</xdr:row>
      <xdr:rowOff>151189</xdr:rowOff>
    </xdr:from>
    <xdr:to>
      <xdr:col>2</xdr:col>
      <xdr:colOff>187181</xdr:colOff>
      <xdr:row>28</xdr:row>
      <xdr:rowOff>57717</xdr:rowOff>
    </xdr:to>
    <xdr:sp macro="" textlink="">
      <xdr:nvSpPr>
        <xdr:cNvPr id="13" name="Text Box 7">
          <a:extLst>
            <a:ext uri="{FF2B5EF4-FFF2-40B4-BE49-F238E27FC236}">
              <a16:creationId xmlns:a16="http://schemas.microsoft.com/office/drawing/2014/main" id="{33CA62B7-26FA-40EE-97F8-09A3DC7E13C1}"/>
            </a:ext>
          </a:extLst>
        </xdr:cNvPr>
        <xdr:cNvSpPr txBox="1">
          <a:spLocks noChangeArrowheads="1"/>
        </xdr:cNvSpPr>
      </xdr:nvSpPr>
      <xdr:spPr bwMode="auto">
        <a:xfrm>
          <a:off x="1187990" y="4334569"/>
          <a:ext cx="645111" cy="287528"/>
        </a:xfrm>
        <a:prstGeom prst="rect">
          <a:avLst/>
        </a:prstGeom>
        <a:solidFill>
          <a:sysClr val="window" lastClr="FFFFFF"/>
        </a:solidFill>
        <a:ln>
          <a:noFill/>
        </a:ln>
      </xdr:spPr>
      <xdr:txBody>
        <a:bodyPr vertOverflow="overflow" horzOverflow="overflow" wrap="none" lIns="27432" tIns="18288" rIns="0" bIns="0" anchor="ctr" upright="1">
          <a:noAutofit/>
        </a:bodyPr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&lt;&lt;凡例&gt;&gt;</a:t>
          </a:r>
        </a:p>
      </xdr:txBody>
    </xdr:sp>
    <xdr:clientData/>
  </xdr:twoCellAnchor>
  <xdr:twoCellAnchor>
    <xdr:from>
      <xdr:col>24</xdr:col>
      <xdr:colOff>173534</xdr:colOff>
      <xdr:row>29</xdr:row>
      <xdr:rowOff>46019</xdr:rowOff>
    </xdr:from>
    <xdr:to>
      <xdr:col>27</xdr:col>
      <xdr:colOff>136723</xdr:colOff>
      <xdr:row>32</xdr:row>
      <xdr:rowOff>36817</xdr:rowOff>
    </xdr:to>
    <xdr:sp macro="" textlink="">
      <xdr:nvSpPr>
        <xdr:cNvPr id="14" name="AutoShape 140">
          <a:extLst>
            <a:ext uri="{FF2B5EF4-FFF2-40B4-BE49-F238E27FC236}">
              <a16:creationId xmlns:a16="http://schemas.microsoft.com/office/drawing/2014/main" id="{F9CE7FB3-1AF4-4AEF-B328-48403CE164C1}"/>
            </a:ext>
          </a:extLst>
        </xdr:cNvPr>
        <xdr:cNvSpPr>
          <a:spLocks noChangeArrowheads="1"/>
        </xdr:cNvSpPr>
      </xdr:nvSpPr>
      <xdr:spPr bwMode="auto">
        <a:xfrm>
          <a:off x="7854494" y="4800899"/>
          <a:ext cx="786149" cy="562298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テーブル名</a:t>
          </a:r>
        </a:p>
      </xdr:txBody>
    </xdr:sp>
    <xdr:clientData/>
  </xdr:twoCellAnchor>
  <xdr:twoCellAnchor>
    <xdr:from>
      <xdr:col>27</xdr:col>
      <xdr:colOff>265564</xdr:colOff>
      <xdr:row>29</xdr:row>
      <xdr:rowOff>165657</xdr:rowOff>
    </xdr:from>
    <xdr:to>
      <xdr:col>29</xdr:col>
      <xdr:colOff>214267</xdr:colOff>
      <xdr:row>30</xdr:row>
      <xdr:rowOff>169722</xdr:rowOff>
    </xdr:to>
    <xdr:sp macro="" textlink="">
      <xdr:nvSpPr>
        <xdr:cNvPr id="15" name="Text Box 142">
          <a:extLst>
            <a:ext uri="{FF2B5EF4-FFF2-40B4-BE49-F238E27FC236}">
              <a16:creationId xmlns:a16="http://schemas.microsoft.com/office/drawing/2014/main" id="{89C3BCBC-53AA-4A73-B37C-B66BEC914B4E}"/>
            </a:ext>
          </a:extLst>
        </xdr:cNvPr>
        <xdr:cNvSpPr txBox="1">
          <a:spLocks noChangeArrowheads="1"/>
        </xdr:cNvSpPr>
      </xdr:nvSpPr>
      <xdr:spPr bwMode="auto">
        <a:xfrm>
          <a:off x="8769484" y="4920537"/>
          <a:ext cx="497343" cy="1945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overflow" horzOverflow="overflow" wrap="none" lIns="18288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テーブル名</a:t>
          </a:r>
        </a:p>
      </xdr:txBody>
    </xdr:sp>
    <xdr:clientData/>
  </xdr:twoCellAnchor>
  <xdr:twoCellAnchor>
    <xdr:from>
      <xdr:col>8</xdr:col>
      <xdr:colOff>130629</xdr:colOff>
      <xdr:row>8</xdr:row>
      <xdr:rowOff>108856</xdr:rowOff>
    </xdr:from>
    <xdr:to>
      <xdr:col>11</xdr:col>
      <xdr:colOff>78040</xdr:colOff>
      <xdr:row>11</xdr:row>
      <xdr:rowOff>76201</xdr:rowOff>
    </xdr:to>
    <xdr:sp macro="" textlink="">
      <xdr:nvSpPr>
        <xdr:cNvPr id="16" name="円柱 15">
          <a:extLst>
            <a:ext uri="{FF2B5EF4-FFF2-40B4-BE49-F238E27FC236}">
              <a16:creationId xmlns:a16="http://schemas.microsoft.com/office/drawing/2014/main" id="{305F9CF8-4CA8-49C8-B932-4D726F3AD22D}"/>
            </a:ext>
          </a:extLst>
        </xdr:cNvPr>
        <xdr:cNvSpPr/>
      </xdr:nvSpPr>
      <xdr:spPr>
        <a:xfrm>
          <a:off x="3396343" y="1796142"/>
          <a:ext cx="763840" cy="587830"/>
        </a:xfrm>
        <a:prstGeom prst="can">
          <a:avLst/>
        </a:prstGeom>
        <a:solidFill>
          <a:schemeClr val="bg1">
            <a:lumMod val="85000"/>
          </a:schemeClr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組織権限情報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TBL</a:t>
          </a:r>
          <a:endParaRPr kumimoji="1" lang="ja-JP" altLang="en-US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239486</xdr:colOff>
      <xdr:row>10</xdr:row>
      <xdr:rowOff>10885</xdr:rowOff>
    </xdr:from>
    <xdr:to>
      <xdr:col>8</xdr:col>
      <xdr:colOff>130630</xdr:colOff>
      <xdr:row>11</xdr:row>
      <xdr:rowOff>43542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22233200-B9BB-FF64-D824-E915CA4B020F}"/>
            </a:ext>
          </a:extLst>
        </xdr:cNvPr>
        <xdr:cNvCxnSpPr>
          <a:cxnSpLocks/>
          <a:stCxn id="16" idx="2"/>
        </xdr:cNvCxnSpPr>
      </xdr:nvCxnSpPr>
      <xdr:spPr>
        <a:xfrm rot="10800000" flipV="1">
          <a:off x="2960915" y="2090056"/>
          <a:ext cx="435429" cy="261257"/>
        </a:xfrm>
        <a:prstGeom prst="bentConnector3">
          <a:avLst>
            <a:gd name="adj1" fmla="val 50000"/>
          </a:avLst>
        </a:prstGeom>
        <a:ln w="9525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65315</xdr:colOff>
      <xdr:row>28</xdr:row>
      <xdr:rowOff>21772</xdr:rowOff>
    </xdr:from>
    <xdr:to>
      <xdr:col>6</xdr:col>
      <xdr:colOff>54428</xdr:colOff>
      <xdr:row>28</xdr:row>
      <xdr:rowOff>152400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F4A54891-BF9D-46B0-1964-5E6E9C0DFB44}"/>
            </a:ext>
          </a:extLst>
        </xdr:cNvPr>
        <xdr:cNvSpPr/>
      </xdr:nvSpPr>
      <xdr:spPr>
        <a:xfrm>
          <a:off x="1698172" y="6444343"/>
          <a:ext cx="1077685" cy="130628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86945</xdr:colOff>
      <xdr:row>27</xdr:row>
      <xdr:rowOff>170531</xdr:rowOff>
    </xdr:from>
    <xdr:to>
      <xdr:col>8</xdr:col>
      <xdr:colOff>86946</xdr:colOff>
      <xdr:row>29</xdr:row>
      <xdr:rowOff>12689</xdr:rowOff>
    </xdr:to>
    <xdr:sp macro="" textlink="">
      <xdr:nvSpPr>
        <xdr:cNvPr id="19" name="Text Box 19">
          <a:extLst>
            <a:ext uri="{FF2B5EF4-FFF2-40B4-BE49-F238E27FC236}">
              <a16:creationId xmlns:a16="http://schemas.microsoft.com/office/drawing/2014/main" id="{0D8E8131-5D02-4C93-F284-67DFF926B5ED}"/>
            </a:ext>
          </a:extLst>
        </xdr:cNvPr>
        <xdr:cNvSpPr txBox="1">
          <a:spLocks noChangeArrowheads="1"/>
        </xdr:cNvSpPr>
      </xdr:nvSpPr>
      <xdr:spPr bwMode="auto">
        <a:xfrm>
          <a:off x="2808374" y="6397160"/>
          <a:ext cx="544286" cy="2340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overflow" horzOverflow="overflow" wrap="none" lIns="18288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本設計対象範囲</a:t>
          </a:r>
        </a:p>
      </xdr:txBody>
    </xdr:sp>
    <xdr:clientData/>
  </xdr:twoCellAnchor>
  <xdr:twoCellAnchor>
    <xdr:from>
      <xdr:col>31</xdr:col>
      <xdr:colOff>136073</xdr:colOff>
      <xdr:row>30</xdr:row>
      <xdr:rowOff>176893</xdr:rowOff>
    </xdr:from>
    <xdr:to>
      <xdr:col>34</xdr:col>
      <xdr:colOff>136071</xdr:colOff>
      <xdr:row>30</xdr:row>
      <xdr:rowOff>176893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F784314F-64C9-7034-17A8-F8915C294177}"/>
            </a:ext>
          </a:extLst>
        </xdr:cNvPr>
        <xdr:cNvCxnSpPr/>
      </xdr:nvCxnSpPr>
      <xdr:spPr>
        <a:xfrm>
          <a:off x="9661073" y="7347857"/>
          <a:ext cx="816427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196984</xdr:colOff>
      <xdr:row>29</xdr:row>
      <xdr:rowOff>144430</xdr:rowOff>
    </xdr:from>
    <xdr:to>
      <xdr:col>33</xdr:col>
      <xdr:colOff>145686</xdr:colOff>
      <xdr:row>30</xdr:row>
      <xdr:rowOff>148495</xdr:rowOff>
    </xdr:to>
    <xdr:sp macro="" textlink="">
      <xdr:nvSpPr>
        <xdr:cNvPr id="32" name="Text Box 142">
          <a:extLst>
            <a:ext uri="{FF2B5EF4-FFF2-40B4-BE49-F238E27FC236}">
              <a16:creationId xmlns:a16="http://schemas.microsoft.com/office/drawing/2014/main" id="{70AC4717-7D0A-403C-B5BE-F52704213C9A}"/>
            </a:ext>
          </a:extLst>
        </xdr:cNvPr>
        <xdr:cNvSpPr txBox="1">
          <a:spLocks noChangeArrowheads="1"/>
        </xdr:cNvSpPr>
      </xdr:nvSpPr>
      <xdr:spPr bwMode="auto">
        <a:xfrm>
          <a:off x="9721984" y="7111287"/>
          <a:ext cx="492988" cy="208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overflow" horzOverflow="overflow" wrap="none" lIns="18288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改修対象遷移先</a:t>
          </a:r>
          <a:endParaRPr lang="en-US" altLang="ja-JP" sz="8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0</xdr:col>
      <xdr:colOff>8965</xdr:colOff>
      <xdr:row>0</xdr:row>
      <xdr:rowOff>0</xdr:rowOff>
    </xdr:from>
    <xdr:to>
      <xdr:col>13</xdr:col>
      <xdr:colOff>133626</xdr:colOff>
      <xdr:row>1</xdr:row>
      <xdr:rowOff>36034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E2F80877-D8AC-4A39-BA96-9025FBE04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5" y="0"/>
          <a:ext cx="3715586" cy="2741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53473</xdr:rowOff>
    </xdr:from>
    <xdr:to>
      <xdr:col>13</xdr:col>
      <xdr:colOff>80211</xdr:colOff>
      <xdr:row>1</xdr:row>
      <xdr:rowOff>22832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21D22E4-F619-4AA9-AFDE-4E304A23B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3473"/>
          <a:ext cx="3646371" cy="205579"/>
        </a:xfrm>
        <a:prstGeom prst="rect">
          <a:avLst/>
        </a:prstGeom>
      </xdr:spPr>
    </xdr:pic>
    <xdr:clientData/>
  </xdr:twoCellAnchor>
  <xdr:oneCellAnchor>
    <xdr:from>
      <xdr:col>23</xdr:col>
      <xdr:colOff>187215</xdr:colOff>
      <xdr:row>26</xdr:row>
      <xdr:rowOff>75793</xdr:rowOff>
    </xdr:from>
    <xdr:ext cx="168870" cy="261590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DC994789-A130-4901-8E67-9C2AEFC64384}"/>
            </a:ext>
          </a:extLst>
        </xdr:cNvPr>
        <xdr:cNvSpPr txBox="1"/>
      </xdr:nvSpPr>
      <xdr:spPr>
        <a:xfrm>
          <a:off x="6496575" y="12366853"/>
          <a:ext cx="168870" cy="2615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87239</xdr:colOff>
      <xdr:row>37</xdr:row>
      <xdr:rowOff>0</xdr:rowOff>
    </xdr:from>
    <xdr:ext cx="184731" cy="264560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CCE21717-69DC-42BC-A1C1-9C32EF1B0ABE}"/>
            </a:ext>
          </a:extLst>
        </xdr:cNvPr>
        <xdr:cNvSpPr txBox="1"/>
      </xdr:nvSpPr>
      <xdr:spPr>
        <a:xfrm>
          <a:off x="6396599" y="148056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150150</xdr:colOff>
      <xdr:row>23</xdr:row>
      <xdr:rowOff>122898</xdr:rowOff>
    </xdr:from>
    <xdr:ext cx="184731" cy="264560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2B87BBF4-459C-42E5-A09A-483418D8766B}"/>
            </a:ext>
          </a:extLst>
        </xdr:cNvPr>
        <xdr:cNvSpPr txBox="1"/>
      </xdr:nvSpPr>
      <xdr:spPr>
        <a:xfrm>
          <a:off x="6459510" y="117281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 editAs="oneCell">
    <xdr:from>
      <xdr:col>1</xdr:col>
      <xdr:colOff>0</xdr:colOff>
      <xdr:row>4</xdr:row>
      <xdr:rowOff>238124</xdr:rowOff>
    </xdr:from>
    <xdr:to>
      <xdr:col>12</xdr:col>
      <xdr:colOff>27215</xdr:colOff>
      <xdr:row>35</xdr:row>
      <xdr:rowOff>92910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B5D87A17-4B3F-4A79-864F-F41B64A032F6}"/>
            </a:ext>
            <a:ext uri="{147F2762-F138-4A5C-976F-8EAC2B608ADB}">
              <a16:predDERef xmlns:a16="http://schemas.microsoft.com/office/drawing/2014/main" pred="{4DB259B9-F1B0-9C98-B8ED-FB5476CF7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2143" y="1068160"/>
          <a:ext cx="3020786" cy="7447571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</xdr:row>
      <xdr:rowOff>0</xdr:rowOff>
    </xdr:from>
    <xdr:to>
      <xdr:col>30</xdr:col>
      <xdr:colOff>28575</xdr:colOff>
      <xdr:row>4</xdr:row>
      <xdr:rowOff>99332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98593D61-0158-4DAA-A401-DC7CB2769490}"/>
            </a:ext>
          </a:extLst>
        </xdr:cNvPr>
        <xdr:cNvSpPr>
          <a:spLocks noChangeAspect="1" noChangeArrowheads="1"/>
        </xdr:cNvSpPr>
      </xdr:nvSpPr>
      <xdr:spPr bwMode="auto">
        <a:xfrm>
          <a:off x="7955280" y="2042160"/>
          <a:ext cx="302895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35298</xdr:rowOff>
    </xdr:from>
    <xdr:to>
      <xdr:col>4</xdr:col>
      <xdr:colOff>539252</xdr:colOff>
      <xdr:row>1</xdr:row>
      <xdr:rowOff>73814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65E2824-C69B-4602-B33D-A5B3CB4C1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35298"/>
          <a:ext cx="3625352" cy="20996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23</xdr:col>
      <xdr:colOff>4918</xdr:colOff>
      <xdr:row>1</xdr:row>
      <xdr:rowOff>128563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327E00A-59D4-489E-A7B9-C1E10319D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95250"/>
          <a:ext cx="3662518" cy="271438"/>
        </a:xfrm>
        <a:prstGeom prst="rect">
          <a:avLst/>
        </a:prstGeom>
      </xdr:spPr>
    </xdr:pic>
    <xdr:clientData/>
  </xdr:twoCellAnchor>
  <xdr:twoCellAnchor>
    <xdr:from>
      <xdr:col>15</xdr:col>
      <xdr:colOff>28575</xdr:colOff>
      <xdr:row>8</xdr:row>
      <xdr:rowOff>28575</xdr:rowOff>
    </xdr:from>
    <xdr:to>
      <xdr:col>81</xdr:col>
      <xdr:colOff>28575</xdr:colOff>
      <xdr:row>30</xdr:row>
      <xdr:rowOff>133350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FF2E1137-8495-43C9-937E-CEB4DEA4A94C}"/>
            </a:ext>
          </a:extLst>
        </xdr:cNvPr>
        <xdr:cNvSpPr/>
      </xdr:nvSpPr>
      <xdr:spPr>
        <a:xfrm>
          <a:off x="2457450" y="1809750"/>
          <a:ext cx="10687050" cy="38766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3200"/>
            <a:t>入力項目なし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35858</xdr:colOff>
      <xdr:row>0</xdr:row>
      <xdr:rowOff>26894</xdr:rowOff>
    </xdr:from>
    <xdr:to>
      <xdr:col>13</xdr:col>
      <xdr:colOff>41150</xdr:colOff>
      <xdr:row>1</xdr:row>
      <xdr:rowOff>65410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1EA3EF2-25D1-49A4-B252-5369EA966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58" y="26894"/>
          <a:ext cx="3618068" cy="2088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F8DF1-F43A-4B18-AC1E-771BCE09E74A}">
  <sheetPr>
    <pageSetUpPr fitToPage="1"/>
  </sheetPr>
  <dimension ref="B4:M22"/>
  <sheetViews>
    <sheetView showGridLines="0" view="pageBreakPreview" zoomScale="85" zoomScaleNormal="85" zoomScaleSheetLayoutView="85" workbookViewId="0">
      <selection activeCell="B7" sqref="B7:M14"/>
    </sheetView>
  </sheetViews>
  <sheetFormatPr defaultColWidth="8.75" defaultRowHeight="18.75"/>
  <cols>
    <col min="1" max="16384" width="8.75" style="53"/>
  </cols>
  <sheetData>
    <row r="4" spans="2:13">
      <c r="B4" s="171" t="str">
        <f>更新履歴!K4</f>
        <v>[画面設計]</v>
      </c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</row>
    <row r="5" spans="2:13">
      <c r="B5" s="171"/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</row>
    <row r="6" spans="2:13">
      <c r="B6" s="171"/>
      <c r="C6" s="171"/>
      <c r="D6" s="171"/>
      <c r="E6" s="171"/>
      <c r="F6" s="171"/>
      <c r="G6" s="171"/>
      <c r="H6" s="171"/>
      <c r="I6" s="171"/>
      <c r="J6" s="171"/>
      <c r="K6" s="171"/>
      <c r="L6" s="171"/>
      <c r="M6" s="171"/>
    </row>
    <row r="7" spans="2:13" ht="18" customHeight="1">
      <c r="B7" s="173" t="str">
        <f>更新履歴!K5&amp;CHAR(10) &amp;更新履歴!K6</f>
        <v xml:space="preserve">サイドメニュー
</v>
      </c>
      <c r="C7" s="173"/>
      <c r="D7" s="173"/>
      <c r="E7" s="173"/>
      <c r="F7" s="173"/>
      <c r="G7" s="173"/>
      <c r="H7" s="173"/>
      <c r="I7" s="173"/>
      <c r="J7" s="173"/>
      <c r="K7" s="173"/>
      <c r="L7" s="173"/>
      <c r="M7" s="173"/>
    </row>
    <row r="8" spans="2:13" ht="18" customHeight="1">
      <c r="B8" s="173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</row>
    <row r="9" spans="2:13" ht="18" customHeight="1">
      <c r="B9" s="173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</row>
    <row r="10" spans="2:13" ht="18" customHeight="1">
      <c r="B10" s="173"/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3"/>
    </row>
    <row r="11" spans="2:13" ht="18" customHeight="1">
      <c r="B11" s="173"/>
      <c r="C11" s="173"/>
      <c r="D11" s="173"/>
      <c r="E11" s="173"/>
      <c r="F11" s="173"/>
      <c r="G11" s="173"/>
      <c r="H11" s="173"/>
      <c r="I11" s="173"/>
      <c r="J11" s="173"/>
      <c r="K11" s="173"/>
      <c r="L11" s="173"/>
      <c r="M11" s="173"/>
    </row>
    <row r="12" spans="2:13" ht="18" customHeight="1">
      <c r="B12" s="173"/>
      <c r="C12" s="173"/>
      <c r="D12" s="173"/>
      <c r="E12" s="173"/>
      <c r="F12" s="173"/>
      <c r="G12" s="173"/>
      <c r="H12" s="173"/>
      <c r="I12" s="173"/>
      <c r="J12" s="173"/>
      <c r="K12" s="173"/>
      <c r="L12" s="173"/>
      <c r="M12" s="173"/>
    </row>
    <row r="13" spans="2:13" ht="18" customHeight="1">
      <c r="B13" s="173"/>
      <c r="C13" s="173"/>
      <c r="D13" s="173"/>
      <c r="E13" s="173"/>
      <c r="F13" s="173"/>
      <c r="G13" s="173"/>
      <c r="H13" s="173"/>
      <c r="I13" s="173"/>
      <c r="J13" s="173"/>
      <c r="K13" s="173"/>
      <c r="L13" s="173"/>
      <c r="M13" s="173"/>
    </row>
    <row r="14" spans="2:13" ht="18" customHeight="1">
      <c r="B14" s="173"/>
      <c r="C14" s="173"/>
      <c r="D14" s="173"/>
      <c r="E14" s="173"/>
      <c r="F14" s="173"/>
      <c r="G14" s="173"/>
      <c r="H14" s="173"/>
      <c r="I14" s="173"/>
      <c r="J14" s="173"/>
      <c r="K14" s="173"/>
      <c r="L14" s="173"/>
      <c r="M14" s="173"/>
    </row>
    <row r="18" spans="2:13">
      <c r="B18" s="171" t="str">
        <f>更新履歴!K1</f>
        <v>CNレポート作成アプリ「LecMoc」</v>
      </c>
      <c r="C18" s="171"/>
      <c r="D18" s="171"/>
      <c r="E18" s="171"/>
      <c r="F18" s="171"/>
      <c r="G18" s="171"/>
      <c r="H18" s="171"/>
      <c r="I18" s="171"/>
      <c r="J18" s="171"/>
      <c r="K18" s="171"/>
      <c r="L18" s="171"/>
      <c r="M18" s="171"/>
    </row>
    <row r="19" spans="2:13">
      <c r="B19" s="171"/>
      <c r="C19" s="171"/>
      <c r="D19" s="171"/>
      <c r="E19" s="171"/>
      <c r="F19" s="171"/>
      <c r="G19" s="171"/>
      <c r="H19" s="171"/>
      <c r="I19" s="171"/>
      <c r="J19" s="171"/>
      <c r="K19" s="171"/>
      <c r="L19" s="171"/>
      <c r="M19" s="171"/>
    </row>
    <row r="20" spans="2:13">
      <c r="B20" s="171"/>
      <c r="C20" s="171"/>
      <c r="D20" s="171"/>
      <c r="E20" s="171"/>
      <c r="F20" s="171"/>
      <c r="G20" s="171"/>
      <c r="H20" s="171"/>
      <c r="I20" s="171"/>
      <c r="J20" s="171"/>
      <c r="K20" s="171"/>
      <c r="L20" s="171"/>
      <c r="M20" s="171"/>
    </row>
    <row r="21" spans="2:13">
      <c r="B21" s="172" t="str">
        <f>更新履歴!K2</f>
        <v>2026.12.21</v>
      </c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</row>
    <row r="22" spans="2:13">
      <c r="B22" s="172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</row>
  </sheetData>
  <mergeCells count="4">
    <mergeCell ref="B4:M6"/>
    <mergeCell ref="B18:M20"/>
    <mergeCell ref="B21:M22"/>
    <mergeCell ref="B7:M14"/>
  </mergeCells>
  <phoneticPr fontId="1"/>
  <pageMargins left="0.7" right="0.7" top="0.75" bottom="0.75" header="0.3" footer="0.3"/>
  <pageSetup paperSize="9" scale="9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D1F3E-6467-407A-8F65-F403F2DFF85B}">
  <dimension ref="A1:V12"/>
  <sheetViews>
    <sheetView showGridLines="0" view="pageBreakPreview" zoomScaleNormal="100" zoomScaleSheetLayoutView="100" workbookViewId="0">
      <selection activeCell="H4" sqref="H4"/>
    </sheetView>
  </sheetViews>
  <sheetFormatPr defaultColWidth="8.75" defaultRowHeight="18.75"/>
  <cols>
    <col min="1" max="1" width="5.125" style="53" bestFit="1" customWidth="1"/>
    <col min="2" max="2" width="13" style="53" customWidth="1"/>
    <col min="3" max="3" width="2.5" style="53" bestFit="1" customWidth="1"/>
    <col min="4" max="4" width="17.25" style="53" bestFit="1" customWidth="1"/>
    <col min="5" max="9" width="13" style="53" customWidth="1"/>
    <col min="10" max="10" width="8.75" style="53"/>
    <col min="11" max="11" width="17.25" style="53" bestFit="1" customWidth="1"/>
    <col min="12" max="13" width="8.75" style="53"/>
    <col min="14" max="14" width="12" style="53" bestFit="1" customWidth="1"/>
    <col min="15" max="16384" width="8.75" style="53"/>
  </cols>
  <sheetData>
    <row r="1" spans="1:22" s="75" customFormat="1" ht="15.75">
      <c r="A1" s="176" t="str">
        <f>K4</f>
        <v>[画面設計]</v>
      </c>
      <c r="B1" s="177"/>
      <c r="C1" s="77" t="str">
        <f>K5</f>
        <v>サイドメニュー</v>
      </c>
      <c r="D1" s="92"/>
      <c r="E1" s="77"/>
      <c r="F1" s="76" t="s">
        <v>132</v>
      </c>
      <c r="G1" s="178" t="str">
        <f>K1</f>
        <v>CNレポート作成アプリ「LecMoc」</v>
      </c>
      <c r="H1" s="178"/>
      <c r="I1" s="178"/>
      <c r="J1" s="54" t="s">
        <v>132</v>
      </c>
      <c r="K1" s="54" t="s">
        <v>155</v>
      </c>
      <c r="L1" s="54"/>
      <c r="M1" s="54"/>
      <c r="N1" s="54"/>
      <c r="O1" s="179"/>
      <c r="P1" s="179"/>
      <c r="Q1" s="179"/>
      <c r="R1" s="179"/>
      <c r="S1" s="179"/>
      <c r="T1" s="179"/>
      <c r="U1" s="64"/>
      <c r="V1" s="68"/>
    </row>
    <row r="2" spans="1:22" s="71" customFormat="1" ht="15.75">
      <c r="A2" s="73" t="s">
        <v>149</v>
      </c>
      <c r="B2" s="180" t="s">
        <v>148</v>
      </c>
      <c r="C2" s="181"/>
      <c r="D2" s="74" t="s">
        <v>147</v>
      </c>
      <c r="E2" s="74" t="s">
        <v>146</v>
      </c>
      <c r="F2" s="73" t="s">
        <v>158</v>
      </c>
      <c r="G2" s="73" t="s">
        <v>159</v>
      </c>
      <c r="H2" s="73" t="s">
        <v>137</v>
      </c>
      <c r="I2" s="72" t="s">
        <v>160</v>
      </c>
      <c r="J2" s="54" t="s">
        <v>161</v>
      </c>
      <c r="K2" s="93" t="s">
        <v>162</v>
      </c>
      <c r="L2" s="54"/>
      <c r="M2" s="54"/>
      <c r="N2" s="54"/>
      <c r="O2" s="179"/>
      <c r="P2" s="179"/>
      <c r="Q2" s="179"/>
      <c r="R2" s="179"/>
      <c r="S2" s="179"/>
      <c r="T2" s="179"/>
      <c r="U2" s="64"/>
      <c r="V2" s="68"/>
    </row>
    <row r="3" spans="1:22" s="54" customFormat="1" ht="15.75">
      <c r="A3" s="66" t="s">
        <v>145</v>
      </c>
      <c r="B3" s="174" t="s">
        <v>144</v>
      </c>
      <c r="C3" s="175"/>
      <c r="D3" s="58" t="s">
        <v>131</v>
      </c>
      <c r="E3" s="58" t="s">
        <v>143</v>
      </c>
      <c r="F3" s="57">
        <v>46212</v>
      </c>
      <c r="G3" s="56" t="s">
        <v>154</v>
      </c>
      <c r="H3" s="57">
        <v>46220</v>
      </c>
      <c r="I3" s="56" t="s">
        <v>153</v>
      </c>
      <c r="L3" s="70"/>
      <c r="M3" s="64"/>
      <c r="N3" s="68"/>
      <c r="R3" s="70"/>
      <c r="S3" s="70"/>
      <c r="T3" s="70"/>
      <c r="U3" s="70"/>
      <c r="V3" s="70"/>
    </row>
    <row r="4" spans="1:22" s="54" customFormat="1" ht="15.75">
      <c r="A4" s="66"/>
      <c r="B4" s="174"/>
      <c r="C4" s="175"/>
      <c r="D4" s="58"/>
      <c r="E4" s="69"/>
      <c r="F4" s="57"/>
      <c r="G4" s="56"/>
      <c r="H4" s="57"/>
      <c r="I4" s="56"/>
      <c r="J4" s="54" t="s">
        <v>142</v>
      </c>
      <c r="K4" s="54" t="s">
        <v>150</v>
      </c>
    </row>
    <row r="5" spans="1:22" s="54" customFormat="1" ht="15.75">
      <c r="A5" s="66"/>
      <c r="B5" s="182"/>
      <c r="C5" s="175"/>
      <c r="D5" s="64"/>
      <c r="E5" s="69"/>
      <c r="F5" s="57"/>
      <c r="G5" s="56"/>
      <c r="H5" s="57"/>
      <c r="I5" s="56"/>
      <c r="J5" s="54" t="s">
        <v>141</v>
      </c>
      <c r="K5" s="54" t="s">
        <v>151</v>
      </c>
    </row>
    <row r="6" spans="1:22" s="54" customFormat="1" ht="15.75">
      <c r="A6" s="66"/>
      <c r="B6" s="174"/>
      <c r="C6" s="175"/>
      <c r="D6" s="59"/>
      <c r="E6" s="58"/>
      <c r="F6" s="57"/>
      <c r="G6" s="56"/>
      <c r="H6" s="57"/>
      <c r="I6" s="56"/>
      <c r="J6" s="54" t="s">
        <v>140</v>
      </c>
    </row>
    <row r="7" spans="1:22" s="54" customFormat="1" ht="15.75">
      <c r="A7" s="66"/>
      <c r="B7" s="182"/>
      <c r="C7" s="175"/>
      <c r="D7" s="59"/>
      <c r="E7" s="58"/>
      <c r="F7" s="57"/>
      <c r="G7" s="56"/>
      <c r="H7" s="57"/>
      <c r="I7" s="56"/>
      <c r="J7" s="54" t="s">
        <v>139</v>
      </c>
      <c r="K7" s="67" t="s">
        <v>152</v>
      </c>
    </row>
    <row r="8" spans="1:22" s="54" customFormat="1" ht="15.75">
      <c r="A8" s="66"/>
      <c r="B8" s="182"/>
      <c r="C8" s="175"/>
      <c r="D8" s="59"/>
      <c r="E8" s="59"/>
      <c r="F8" s="57"/>
      <c r="G8" s="56"/>
      <c r="H8" s="57"/>
      <c r="I8" s="56"/>
      <c r="J8" s="54" t="s">
        <v>138</v>
      </c>
      <c r="K8" s="54" t="str">
        <f>K5</f>
        <v>サイドメニュー</v>
      </c>
    </row>
    <row r="9" spans="1:22" s="54" customFormat="1" ht="15.75">
      <c r="A9" s="66"/>
      <c r="B9" s="182"/>
      <c r="C9" s="183"/>
      <c r="D9" s="65"/>
      <c r="E9" s="59"/>
      <c r="F9" s="57"/>
      <c r="G9" s="56"/>
      <c r="H9" s="57"/>
      <c r="I9" s="56"/>
    </row>
    <row r="10" spans="1:22" s="54" customFormat="1" ht="15.75">
      <c r="A10" s="63"/>
      <c r="B10" s="182"/>
      <c r="C10" s="175"/>
      <c r="D10" s="62"/>
      <c r="E10" s="61"/>
      <c r="F10" s="57"/>
      <c r="G10" s="56"/>
      <c r="H10" s="57"/>
      <c r="I10" s="56"/>
      <c r="U10" s="55"/>
      <c r="V10" s="55"/>
    </row>
    <row r="11" spans="1:22" s="54" customFormat="1" ht="15.75">
      <c r="A11" s="63"/>
      <c r="B11" s="182"/>
      <c r="C11" s="175"/>
      <c r="D11" s="62"/>
      <c r="E11" s="61"/>
      <c r="F11" s="57"/>
      <c r="G11" s="56"/>
      <c r="H11" s="57"/>
      <c r="I11" s="56"/>
      <c r="U11" s="55"/>
      <c r="V11" s="55"/>
    </row>
    <row r="12" spans="1:22" s="54" customFormat="1" ht="15.75">
      <c r="A12" s="60"/>
      <c r="B12" s="182"/>
      <c r="C12" s="175"/>
      <c r="D12" s="59"/>
      <c r="E12" s="58"/>
      <c r="F12" s="57"/>
      <c r="G12" s="56"/>
      <c r="H12" s="57"/>
      <c r="I12" s="56"/>
      <c r="U12" s="55"/>
      <c r="V12" s="55"/>
    </row>
  </sheetData>
  <mergeCells count="14">
    <mergeCell ref="B11:C11"/>
    <mergeCell ref="B12:C12"/>
    <mergeCell ref="B5:C5"/>
    <mergeCell ref="B6:C6"/>
    <mergeCell ref="B7:C7"/>
    <mergeCell ref="B8:C8"/>
    <mergeCell ref="B9:C9"/>
    <mergeCell ref="B10:C10"/>
    <mergeCell ref="B4:C4"/>
    <mergeCell ref="A1:B1"/>
    <mergeCell ref="G1:I1"/>
    <mergeCell ref="O1:T2"/>
    <mergeCell ref="B2:C2"/>
    <mergeCell ref="B3:C3"/>
  </mergeCells>
  <phoneticPr fontId="1"/>
  <pageMargins left="0.7" right="0.7" top="0.75" bottom="0.75" header="0.3" footer="0.3"/>
  <pageSetup paperSize="9" scale="7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04484-8805-4900-B18E-D4CC8F7F0DED}">
  <sheetPr>
    <pageSetUpPr fitToPage="1"/>
  </sheetPr>
  <dimension ref="A1:AS34"/>
  <sheetViews>
    <sheetView showGridLines="0" view="pageBreakPreview" zoomScale="90" zoomScaleNormal="70" zoomScaleSheetLayoutView="90" workbookViewId="0">
      <selection activeCell="AH14" sqref="AH14"/>
    </sheetView>
  </sheetViews>
  <sheetFormatPr defaultColWidth="3.625" defaultRowHeight="18.75"/>
  <cols>
    <col min="1" max="35" width="3.625" style="1"/>
    <col min="38" max="16384" width="3.625" style="1"/>
  </cols>
  <sheetData>
    <row r="1" spans="1:45" ht="19.5" thickBot="1">
      <c r="P1" s="151" t="s">
        <v>177</v>
      </c>
      <c r="AJ1" s="1"/>
    </row>
    <row r="2" spans="1:45" ht="18.75" customHeight="1">
      <c r="A2" s="189" t="s">
        <v>131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  <c r="AE2" s="191" t="s">
        <v>132</v>
      </c>
      <c r="AF2" s="192"/>
      <c r="AG2" s="192"/>
      <c r="AH2" s="192"/>
      <c r="AI2" s="192"/>
      <c r="AJ2" s="193"/>
      <c r="AK2" s="153" t="s">
        <v>155</v>
      </c>
      <c r="AL2" s="152"/>
      <c r="AM2" s="154"/>
      <c r="AN2" s="154"/>
      <c r="AO2" s="154"/>
      <c r="AP2" s="154"/>
      <c r="AQ2" s="154"/>
      <c r="AR2" s="154"/>
      <c r="AS2" s="155"/>
    </row>
    <row r="3" spans="1:45" ht="36" customHeight="1" thickBot="1">
      <c r="A3" s="190"/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0"/>
      <c r="Y3" s="190"/>
      <c r="Z3" s="190"/>
      <c r="AE3" s="194" t="s">
        <v>133</v>
      </c>
      <c r="AF3" s="195"/>
      <c r="AG3" s="195"/>
      <c r="AH3" s="195"/>
      <c r="AI3" s="195"/>
      <c r="AJ3" s="196"/>
      <c r="AK3" s="197" t="s">
        <v>205</v>
      </c>
      <c r="AL3" s="198"/>
      <c r="AM3" s="198"/>
      <c r="AN3" s="198"/>
      <c r="AO3" s="198"/>
      <c r="AP3" s="198"/>
      <c r="AQ3" s="198"/>
      <c r="AR3" s="198"/>
      <c r="AS3" s="199"/>
    </row>
    <row r="4" spans="1:45" ht="18" customHeight="1">
      <c r="A4" s="200" t="s">
        <v>134</v>
      </c>
      <c r="B4" s="201"/>
      <c r="C4" s="201"/>
      <c r="D4" s="201"/>
      <c r="E4" s="201"/>
      <c r="F4" s="201"/>
      <c r="G4" s="201"/>
      <c r="H4" s="201"/>
      <c r="I4" s="201"/>
      <c r="J4" s="201"/>
      <c r="K4" s="202" t="s">
        <v>206</v>
      </c>
      <c r="L4" s="203"/>
      <c r="M4" s="203"/>
      <c r="N4" s="203"/>
      <c r="O4" s="203"/>
      <c r="P4" s="203"/>
      <c r="Q4" s="204"/>
      <c r="R4" s="205" t="s">
        <v>135</v>
      </c>
      <c r="S4" s="201"/>
      <c r="T4" s="201"/>
      <c r="U4" s="201"/>
      <c r="V4" s="201"/>
      <c r="W4" s="201"/>
      <c r="X4" s="201"/>
      <c r="Y4" s="201"/>
      <c r="Z4" s="201"/>
      <c r="AA4" s="206"/>
      <c r="AB4" s="207" t="s">
        <v>43</v>
      </c>
      <c r="AC4" s="208"/>
      <c r="AD4" s="208"/>
      <c r="AE4" s="208"/>
      <c r="AF4" s="208"/>
      <c r="AG4" s="208"/>
      <c r="AH4" s="208"/>
      <c r="AI4" s="208"/>
      <c r="AJ4" s="208"/>
      <c r="AK4" s="208"/>
      <c r="AL4" s="208"/>
      <c r="AM4" s="208"/>
      <c r="AN4" s="208"/>
      <c r="AO4" s="208"/>
      <c r="AP4" s="208"/>
      <c r="AQ4" s="208"/>
      <c r="AR4" s="208"/>
      <c r="AS4" s="209"/>
    </row>
    <row r="5" spans="1:45" ht="18" customHeight="1">
      <c r="A5" s="210" t="s">
        <v>175</v>
      </c>
      <c r="B5" s="211"/>
      <c r="C5" s="211"/>
      <c r="D5" s="211"/>
      <c r="E5" s="211"/>
      <c r="F5" s="211"/>
      <c r="G5" s="211"/>
      <c r="H5" s="211"/>
      <c r="I5" s="211"/>
      <c r="J5" s="211"/>
      <c r="K5" s="212" t="s">
        <v>206</v>
      </c>
      <c r="L5" s="213"/>
      <c r="M5" s="213"/>
      <c r="N5" s="213"/>
      <c r="O5" s="213"/>
      <c r="P5" s="213"/>
      <c r="Q5" s="214"/>
      <c r="R5" s="215" t="s">
        <v>176</v>
      </c>
      <c r="S5" s="211"/>
      <c r="T5" s="211"/>
      <c r="U5" s="211"/>
      <c r="V5" s="211"/>
      <c r="W5" s="211"/>
      <c r="X5" s="211"/>
      <c r="Y5" s="211"/>
      <c r="Z5" s="211"/>
      <c r="AA5" s="216"/>
      <c r="AB5" s="217" t="s">
        <v>0</v>
      </c>
      <c r="AC5" s="218"/>
      <c r="AD5" s="218"/>
      <c r="AE5" s="218"/>
      <c r="AF5" s="218"/>
      <c r="AG5" s="218"/>
      <c r="AH5" s="218"/>
      <c r="AI5" s="218"/>
      <c r="AJ5" s="218"/>
      <c r="AK5" s="218"/>
      <c r="AL5" s="218"/>
      <c r="AM5" s="218"/>
      <c r="AN5" s="218"/>
      <c r="AO5" s="218"/>
      <c r="AP5" s="218"/>
      <c r="AQ5" s="218"/>
      <c r="AR5" s="218"/>
      <c r="AS5" s="219"/>
    </row>
    <row r="6" spans="1:45" ht="18.600000000000001" customHeight="1">
      <c r="A6" s="184" t="s">
        <v>136</v>
      </c>
      <c r="B6" s="185"/>
      <c r="C6" s="185"/>
      <c r="D6" s="185"/>
      <c r="E6" s="185"/>
      <c r="F6" s="185"/>
      <c r="G6" s="185"/>
      <c r="H6" s="185"/>
      <c r="I6" s="185"/>
      <c r="J6" s="185"/>
      <c r="K6" s="186" t="s">
        <v>207</v>
      </c>
      <c r="L6" s="187"/>
      <c r="M6" s="187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  <c r="AA6" s="187"/>
      <c r="AB6" s="187"/>
      <c r="AC6" s="187"/>
      <c r="AD6" s="187"/>
      <c r="AE6" s="187"/>
      <c r="AF6" s="187"/>
      <c r="AG6" s="187"/>
      <c r="AH6" s="187"/>
      <c r="AI6" s="187"/>
      <c r="AJ6" s="187"/>
      <c r="AK6" s="187"/>
      <c r="AL6" s="187"/>
      <c r="AM6" s="187"/>
      <c r="AN6" s="187"/>
      <c r="AO6" s="187"/>
      <c r="AP6" s="187"/>
      <c r="AQ6" s="187"/>
      <c r="AR6" s="187"/>
      <c r="AS6" s="188"/>
    </row>
    <row r="7" spans="1:45" ht="15.75">
      <c r="A7" s="156" t="s">
        <v>1</v>
      </c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3"/>
      <c r="AP7" s="3"/>
      <c r="AQ7" s="3"/>
      <c r="AR7" s="3"/>
      <c r="AS7" s="169"/>
    </row>
    <row r="8" spans="1:45" ht="15.75">
      <c r="A8" s="158"/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6"/>
      <c r="AP8" s="6"/>
      <c r="AQ8" s="6"/>
      <c r="AR8" s="6"/>
      <c r="AS8" s="170"/>
    </row>
    <row r="9" spans="1:45" ht="15.75">
      <c r="A9" s="156"/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S9" s="157"/>
    </row>
    <row r="10" spans="1:45" ht="15.75">
      <c r="A10" s="159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S10" s="157"/>
    </row>
    <row r="11" spans="1:45">
      <c r="A11" s="159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2"/>
      <c r="AA11" s="80"/>
      <c r="AB11" s="80"/>
      <c r="AC11" s="80"/>
      <c r="AD11" s="80"/>
      <c r="AE11" s="80"/>
      <c r="AF11" s="82"/>
      <c r="AG11" s="82"/>
      <c r="AH11" s="80"/>
      <c r="AI11" s="80"/>
      <c r="AJ11" s="80"/>
      <c r="AK11" s="80"/>
      <c r="AL11" s="80"/>
      <c r="AM11" s="80"/>
      <c r="AN11" s="80"/>
      <c r="AS11" s="157"/>
    </row>
    <row r="12" spans="1:45">
      <c r="A12" s="159"/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2"/>
      <c r="AG12" s="82"/>
      <c r="AH12" s="80"/>
      <c r="AI12" s="80"/>
      <c r="AJ12" s="80"/>
      <c r="AK12" s="80"/>
      <c r="AL12" s="80"/>
      <c r="AM12" s="80"/>
      <c r="AN12" s="80"/>
      <c r="AS12" s="157"/>
    </row>
    <row r="13" spans="1:45">
      <c r="A13" s="159"/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2"/>
      <c r="AG13" s="82"/>
      <c r="AH13" s="80"/>
      <c r="AI13" s="80"/>
      <c r="AJ13" s="80"/>
      <c r="AK13" s="80"/>
      <c r="AL13" s="80"/>
      <c r="AM13" s="80"/>
      <c r="AN13" s="80"/>
      <c r="AS13" s="157"/>
    </row>
    <row r="14" spans="1:45">
      <c r="A14" s="159"/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2"/>
      <c r="AG14" s="82"/>
      <c r="AH14" s="80"/>
      <c r="AI14" s="80"/>
      <c r="AJ14" s="80"/>
      <c r="AK14" s="80"/>
      <c r="AL14" s="80"/>
      <c r="AM14" s="80"/>
      <c r="AN14" s="80"/>
      <c r="AS14" s="157"/>
    </row>
    <row r="15" spans="1:45">
      <c r="A15" s="159"/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2"/>
      <c r="AG15" s="82"/>
      <c r="AH15" s="80"/>
      <c r="AI15" s="80"/>
      <c r="AJ15" s="80"/>
      <c r="AK15" s="80"/>
      <c r="AL15" s="80"/>
      <c r="AM15" s="80"/>
      <c r="AN15" s="80"/>
      <c r="AS15" s="157"/>
    </row>
    <row r="16" spans="1:45">
      <c r="A16" s="159"/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2"/>
      <c r="AH16" s="80"/>
      <c r="AI16" s="80"/>
      <c r="AJ16" s="80"/>
      <c r="AK16" s="80"/>
      <c r="AL16" s="80"/>
      <c r="AM16" s="80"/>
      <c r="AN16" s="80"/>
      <c r="AS16" s="157"/>
    </row>
    <row r="17" spans="1:45">
      <c r="A17" s="159"/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2"/>
      <c r="AH17" s="80"/>
      <c r="AI17" s="80"/>
      <c r="AJ17" s="80"/>
      <c r="AK17" s="80"/>
      <c r="AL17" s="80"/>
      <c r="AM17" s="80"/>
      <c r="AN17" s="80"/>
      <c r="AS17" s="157"/>
    </row>
    <row r="18" spans="1:45">
      <c r="A18" s="159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2"/>
      <c r="AH18" s="80"/>
      <c r="AI18" s="80"/>
      <c r="AJ18" s="80"/>
      <c r="AK18" s="80"/>
      <c r="AL18" s="80"/>
      <c r="AM18" s="80"/>
      <c r="AN18" s="80"/>
      <c r="AS18" s="157"/>
    </row>
    <row r="19" spans="1:45">
      <c r="A19" s="159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2"/>
      <c r="AH19" s="80"/>
      <c r="AI19" s="80"/>
      <c r="AJ19" s="80"/>
      <c r="AK19" s="80"/>
      <c r="AL19" s="80"/>
      <c r="AM19" s="80"/>
      <c r="AN19" s="80"/>
      <c r="AS19" s="157"/>
    </row>
    <row r="20" spans="1:45">
      <c r="A20" s="159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2"/>
      <c r="AH20" s="80"/>
      <c r="AI20" s="80"/>
      <c r="AJ20" s="80"/>
      <c r="AK20" s="80"/>
      <c r="AL20" s="80"/>
      <c r="AM20" s="80"/>
      <c r="AN20" s="80"/>
      <c r="AS20" s="157"/>
    </row>
    <row r="21" spans="1:45">
      <c r="A21" s="159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2"/>
      <c r="AH21" s="80"/>
      <c r="AI21" s="80"/>
      <c r="AJ21" s="80"/>
      <c r="AK21" s="80"/>
      <c r="AL21" s="80"/>
      <c r="AM21" s="80"/>
      <c r="AN21" s="80"/>
      <c r="AS21" s="157"/>
    </row>
    <row r="22" spans="1:45">
      <c r="A22" s="159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2"/>
      <c r="AH22" s="80"/>
      <c r="AI22" s="80"/>
      <c r="AJ22" s="80"/>
      <c r="AK22" s="80"/>
      <c r="AL22" s="80"/>
      <c r="AM22" s="80"/>
      <c r="AN22" s="80"/>
      <c r="AS22" s="157"/>
    </row>
    <row r="23" spans="1:45">
      <c r="A23" s="159"/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2"/>
      <c r="AH23" s="80"/>
      <c r="AI23" s="80"/>
      <c r="AJ23" s="80"/>
      <c r="AK23" s="80"/>
      <c r="AL23" s="80"/>
      <c r="AM23" s="80"/>
      <c r="AN23" s="80"/>
      <c r="AS23" s="157"/>
    </row>
    <row r="24" spans="1:45">
      <c r="A24" s="15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2"/>
      <c r="AH24" s="80"/>
      <c r="AI24" s="80"/>
      <c r="AJ24" s="80"/>
      <c r="AK24" s="80"/>
      <c r="AL24" s="80"/>
      <c r="AM24" s="80"/>
      <c r="AN24" s="80"/>
      <c r="AS24" s="157"/>
    </row>
    <row r="25" spans="1:45">
      <c r="A25" s="159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2"/>
      <c r="AH25" s="80"/>
      <c r="AI25" s="80"/>
      <c r="AJ25" s="80"/>
      <c r="AK25" s="80"/>
      <c r="AL25" s="80"/>
      <c r="AM25" s="80"/>
      <c r="AN25" s="80"/>
      <c r="AS25" s="157"/>
    </row>
    <row r="26" spans="1:45">
      <c r="A26" s="159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2"/>
      <c r="AH26" s="80"/>
      <c r="AI26" s="80"/>
      <c r="AJ26" s="80"/>
      <c r="AK26" s="80"/>
      <c r="AL26" s="80"/>
      <c r="AM26" s="80"/>
      <c r="AN26" s="80"/>
      <c r="AS26" s="157"/>
    </row>
    <row r="27" spans="1:45">
      <c r="A27" s="159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2"/>
      <c r="AH27" s="80"/>
      <c r="AI27" s="80"/>
      <c r="AJ27" s="80"/>
      <c r="AK27" s="80"/>
      <c r="AL27" s="80"/>
      <c r="AM27" s="80"/>
      <c r="AN27" s="80"/>
      <c r="AS27" s="157"/>
    </row>
    <row r="28" spans="1:45" ht="15.75">
      <c r="A28" s="160"/>
      <c r="B28" s="161"/>
      <c r="C28" s="161"/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S28" s="157"/>
    </row>
    <row r="29" spans="1:45" ht="15.75">
      <c r="A29" s="160"/>
      <c r="B29" s="161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S29" s="157"/>
    </row>
    <row r="30" spans="1:45" ht="15.75">
      <c r="A30" s="162"/>
      <c r="B30" s="161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S30" s="157"/>
    </row>
    <row r="31" spans="1:45" ht="15.75">
      <c r="A31" s="162"/>
      <c r="B31" s="161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3" t="s">
        <v>163</v>
      </c>
      <c r="O31" s="161"/>
      <c r="P31" s="161"/>
      <c r="Q31" s="161"/>
      <c r="R31" s="161"/>
      <c r="S31" s="161"/>
      <c r="T31" s="161"/>
      <c r="U31" s="161"/>
      <c r="V31" s="161"/>
      <c r="W31" s="161" t="s">
        <v>164</v>
      </c>
      <c r="X31" s="161"/>
      <c r="Y31" s="161"/>
      <c r="Z31" s="161" t="s">
        <v>165</v>
      </c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S31" s="157"/>
    </row>
    <row r="32" spans="1:45" ht="15.75">
      <c r="A32" s="162"/>
      <c r="B32" s="161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S32" s="157"/>
    </row>
    <row r="33" spans="1:45" ht="15.75">
      <c r="A33" s="162"/>
      <c r="B33" s="161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S33" s="157"/>
    </row>
    <row r="34" spans="1:45" ht="16.5" thickBot="1">
      <c r="A34" s="164"/>
      <c r="B34" s="165"/>
      <c r="C34" s="165"/>
      <c r="D34" s="165"/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  <c r="AA34" s="166"/>
      <c r="AB34" s="166"/>
      <c r="AC34" s="166"/>
      <c r="AD34" s="166"/>
      <c r="AE34" s="166"/>
      <c r="AF34" s="166"/>
      <c r="AG34" s="166"/>
      <c r="AH34" s="166"/>
      <c r="AI34" s="166"/>
      <c r="AJ34" s="166"/>
      <c r="AK34" s="166"/>
      <c r="AL34" s="166"/>
      <c r="AM34" s="166"/>
      <c r="AN34" s="166"/>
      <c r="AO34" s="167"/>
      <c r="AP34" s="167"/>
      <c r="AQ34" s="167"/>
      <c r="AR34" s="167"/>
      <c r="AS34" s="168"/>
    </row>
  </sheetData>
  <mergeCells count="14">
    <mergeCell ref="A6:J6"/>
    <mergeCell ref="K6:AS6"/>
    <mergeCell ref="A2:Z3"/>
    <mergeCell ref="AE2:AJ2"/>
    <mergeCell ref="AE3:AJ3"/>
    <mergeCell ref="AK3:AS3"/>
    <mergeCell ref="A4:J4"/>
    <mergeCell ref="K4:Q4"/>
    <mergeCell ref="R4:AA4"/>
    <mergeCell ref="AB4:AS4"/>
    <mergeCell ref="A5:J5"/>
    <mergeCell ref="K5:Q5"/>
    <mergeCell ref="R5:AA5"/>
    <mergeCell ref="AB5:AS5"/>
  </mergeCells>
  <phoneticPr fontId="1"/>
  <pageMargins left="0.7" right="0.7" top="0.75" bottom="0.75" header="0.3" footer="0.3"/>
  <pageSetup paperSize="9" scale="48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D9E5B-FAA2-4E40-AB71-0B6EC53D22AC}">
  <sheetPr>
    <pageSetUpPr fitToPage="1"/>
  </sheetPr>
  <dimension ref="A1:AU37"/>
  <sheetViews>
    <sheetView zoomScale="70" zoomScaleNormal="70" workbookViewId="0">
      <selection activeCell="I39" sqref="I39"/>
    </sheetView>
  </sheetViews>
  <sheetFormatPr defaultColWidth="3.625" defaultRowHeight="18.75"/>
  <cols>
    <col min="1" max="35" width="3.625" style="80"/>
    <col min="36" max="37" width="3.625" style="82"/>
    <col min="38" max="16384" width="3.625" style="80"/>
  </cols>
  <sheetData>
    <row r="1" spans="1:47" ht="19.5" thickBot="1">
      <c r="P1" s="109" t="str">
        <f>更新履歴!K2</f>
        <v>2026.12.21</v>
      </c>
      <c r="AJ1" s="80"/>
    </row>
    <row r="2" spans="1:47" ht="15" customHeight="1">
      <c r="A2" s="220" t="s">
        <v>156</v>
      </c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0"/>
      <c r="V2" s="220"/>
      <c r="W2" s="220"/>
      <c r="X2" s="220"/>
      <c r="Y2" s="220"/>
      <c r="Z2" s="220"/>
      <c r="AE2" s="221" t="s">
        <v>132</v>
      </c>
      <c r="AF2" s="222"/>
      <c r="AG2" s="222"/>
      <c r="AH2" s="222"/>
      <c r="AI2" s="222"/>
      <c r="AJ2" s="223"/>
      <c r="AK2" s="111" t="str">
        <f>更新履歴!K1</f>
        <v>CNレポート作成アプリ「LecMoc」</v>
      </c>
      <c r="AL2" s="110"/>
      <c r="AM2" s="110"/>
      <c r="AN2" s="110"/>
      <c r="AO2" s="110"/>
      <c r="AP2" s="110"/>
      <c r="AQ2" s="110"/>
      <c r="AR2" s="110"/>
      <c r="AS2" s="110"/>
      <c r="AT2" s="110"/>
      <c r="AU2" s="112"/>
    </row>
    <row r="3" spans="1:47" ht="15.6" customHeight="1">
      <c r="A3" s="220"/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220"/>
      <c r="Q3" s="220"/>
      <c r="R3" s="220"/>
      <c r="S3" s="220"/>
      <c r="T3" s="220"/>
      <c r="U3" s="220"/>
      <c r="V3" s="220"/>
      <c r="W3" s="220"/>
      <c r="X3" s="220"/>
      <c r="Y3" s="220"/>
      <c r="Z3" s="220"/>
      <c r="AE3" s="224" t="s">
        <v>133</v>
      </c>
      <c r="AF3" s="225"/>
      <c r="AG3" s="225"/>
      <c r="AH3" s="225"/>
      <c r="AI3" s="225"/>
      <c r="AJ3" s="226"/>
      <c r="AK3" s="113" t="s">
        <v>157</v>
      </c>
      <c r="AL3" s="114"/>
      <c r="AM3" s="114"/>
      <c r="AN3" s="114"/>
      <c r="AO3" s="114"/>
      <c r="AP3" s="114"/>
      <c r="AQ3" s="114"/>
      <c r="AR3" s="114"/>
      <c r="AS3" s="114"/>
      <c r="AT3" s="114"/>
      <c r="AU3" s="115"/>
    </row>
    <row r="4" spans="1:47" ht="15.75">
      <c r="A4" s="94" t="s">
        <v>2</v>
      </c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5"/>
      <c r="AT4" s="95"/>
      <c r="AU4" s="96"/>
    </row>
    <row r="5" spans="1:47">
      <c r="A5" s="85"/>
      <c r="AI5" s="81"/>
      <c r="AL5" s="83"/>
      <c r="AU5" s="84"/>
    </row>
    <row r="6" spans="1:47">
      <c r="A6" s="85"/>
      <c r="AI6" s="85"/>
      <c r="AU6" s="84"/>
    </row>
    <row r="7" spans="1:47">
      <c r="A7" s="85"/>
      <c r="AI7" s="85" t="s">
        <v>3</v>
      </c>
      <c r="AU7" s="84"/>
    </row>
    <row r="8" spans="1:47">
      <c r="A8" s="85"/>
      <c r="AI8" s="85" t="s">
        <v>4</v>
      </c>
      <c r="AU8" s="84"/>
    </row>
    <row r="9" spans="1:47">
      <c r="A9" s="85"/>
      <c r="AI9" s="85"/>
      <c r="AU9" s="84"/>
    </row>
    <row r="10" spans="1:47">
      <c r="A10" s="85"/>
      <c r="AI10" s="85" t="s">
        <v>5</v>
      </c>
      <c r="AU10" s="84"/>
    </row>
    <row r="11" spans="1:47">
      <c r="A11" s="85"/>
      <c r="AI11" s="85" t="s">
        <v>6</v>
      </c>
      <c r="AU11" s="84"/>
    </row>
    <row r="12" spans="1:47">
      <c r="A12" s="85"/>
      <c r="AI12" s="85"/>
      <c r="AU12" s="84"/>
    </row>
    <row r="13" spans="1:47">
      <c r="A13" s="85"/>
      <c r="AI13" s="85" t="s">
        <v>7</v>
      </c>
      <c r="AU13" s="84"/>
    </row>
    <row r="14" spans="1:47">
      <c r="A14" s="85"/>
      <c r="AI14" s="85" t="s">
        <v>8</v>
      </c>
      <c r="AU14" s="84"/>
    </row>
    <row r="15" spans="1:47">
      <c r="A15" s="85"/>
      <c r="AI15" s="85"/>
      <c r="AU15" s="84"/>
    </row>
    <row r="16" spans="1:47">
      <c r="A16" s="85"/>
      <c r="AI16" s="86" t="s">
        <v>9</v>
      </c>
      <c r="AU16" s="84"/>
    </row>
    <row r="17" spans="1:47">
      <c r="A17" s="85"/>
      <c r="AI17" s="86" t="s">
        <v>10</v>
      </c>
      <c r="AU17" s="84"/>
    </row>
    <row r="18" spans="1:47">
      <c r="A18" s="85"/>
      <c r="AI18" s="86"/>
      <c r="AU18" s="84"/>
    </row>
    <row r="19" spans="1:47">
      <c r="A19" s="85"/>
      <c r="AI19" s="86" t="s">
        <v>11</v>
      </c>
      <c r="AU19" s="84"/>
    </row>
    <row r="20" spans="1:47">
      <c r="A20" s="85"/>
      <c r="AI20" s="86" t="s">
        <v>12</v>
      </c>
      <c r="AU20" s="84"/>
    </row>
    <row r="21" spans="1:47">
      <c r="A21" s="85"/>
      <c r="AI21" s="85"/>
      <c r="AU21" s="84"/>
    </row>
    <row r="22" spans="1:47">
      <c r="A22" s="85"/>
      <c r="AI22" s="85" t="s">
        <v>13</v>
      </c>
      <c r="AU22" s="84"/>
    </row>
    <row r="23" spans="1:47">
      <c r="A23" s="85"/>
      <c r="AI23" s="87" t="s">
        <v>14</v>
      </c>
      <c r="AU23" s="84"/>
    </row>
    <row r="24" spans="1:47">
      <c r="A24" s="85"/>
      <c r="AI24" s="85"/>
      <c r="AU24" s="84"/>
    </row>
    <row r="25" spans="1:47">
      <c r="A25" s="85"/>
      <c r="AI25" s="85" t="s">
        <v>15</v>
      </c>
      <c r="AU25" s="84"/>
    </row>
    <row r="26" spans="1:47">
      <c r="A26" s="85"/>
      <c r="AI26" s="85" t="s">
        <v>16</v>
      </c>
      <c r="AU26" s="84"/>
    </row>
    <row r="27" spans="1:47">
      <c r="A27" s="85"/>
      <c r="AI27" s="85"/>
      <c r="AU27" s="84"/>
    </row>
    <row r="28" spans="1:47">
      <c r="A28" s="85"/>
      <c r="AI28" s="85" t="s">
        <v>17</v>
      </c>
      <c r="AU28" s="84"/>
    </row>
    <row r="29" spans="1:47">
      <c r="A29" s="85"/>
      <c r="AI29" s="85" t="s">
        <v>18</v>
      </c>
      <c r="AU29" s="84"/>
    </row>
    <row r="30" spans="1:47">
      <c r="A30" s="85"/>
      <c r="AI30" s="85"/>
      <c r="AU30" s="84"/>
    </row>
    <row r="31" spans="1:47">
      <c r="A31" s="85"/>
      <c r="AI31" s="85" t="s">
        <v>19</v>
      </c>
      <c r="AU31" s="84"/>
    </row>
    <row r="32" spans="1:47">
      <c r="A32" s="85"/>
      <c r="AI32" s="85" t="s">
        <v>20</v>
      </c>
      <c r="AU32" s="84"/>
    </row>
    <row r="33" spans="1:47">
      <c r="A33" s="85"/>
      <c r="AI33" s="85"/>
      <c r="AU33" s="84"/>
    </row>
    <row r="34" spans="1:47">
      <c r="A34" s="85"/>
      <c r="AI34" s="85" t="s">
        <v>21</v>
      </c>
      <c r="AU34" s="84"/>
    </row>
    <row r="35" spans="1:47">
      <c r="A35" s="85"/>
      <c r="AI35" s="85" t="s">
        <v>22</v>
      </c>
      <c r="AU35" s="84"/>
    </row>
    <row r="36" spans="1:47">
      <c r="A36" s="85"/>
      <c r="AI36" s="85"/>
      <c r="AU36" s="84"/>
    </row>
    <row r="37" spans="1:47">
      <c r="A37" s="89"/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9"/>
      <c r="AJ37" s="90"/>
      <c r="AK37" s="90"/>
      <c r="AL37" s="88"/>
      <c r="AM37" s="88"/>
      <c r="AN37" s="88"/>
      <c r="AO37" s="88"/>
      <c r="AP37" s="88"/>
      <c r="AQ37" s="88"/>
      <c r="AR37" s="88"/>
      <c r="AS37" s="88"/>
      <c r="AT37" s="88"/>
      <c r="AU37" s="91"/>
    </row>
  </sheetData>
  <mergeCells count="3">
    <mergeCell ref="A2:Z3"/>
    <mergeCell ref="AE2:AJ2"/>
    <mergeCell ref="AE3:AJ3"/>
  </mergeCells>
  <phoneticPr fontId="1"/>
  <pageMargins left="0.7" right="0.7" top="0.75" bottom="0.75" header="0.3" footer="0.3"/>
  <pageSetup paperSize="9" scale="47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4F1CE-946F-4042-81E8-EBA43AC885AB}">
  <sheetPr>
    <pageSetUpPr fitToPage="1"/>
  </sheetPr>
  <dimension ref="A1:M22"/>
  <sheetViews>
    <sheetView view="pageBreakPreview" zoomScaleNormal="100" zoomScaleSheetLayoutView="100" workbookViewId="0">
      <selection activeCell="J30" sqref="J30"/>
    </sheetView>
  </sheetViews>
  <sheetFormatPr defaultColWidth="8.625" defaultRowHeight="12"/>
  <cols>
    <col min="1" max="1" width="5.75" style="128" customWidth="1"/>
    <col min="2" max="2" width="21.625" style="122" bestFit="1" customWidth="1"/>
    <col min="3" max="3" width="10.125" style="122" bestFit="1" customWidth="1"/>
    <col min="4" max="4" width="3.375" style="122" customWidth="1"/>
    <col min="5" max="5" width="12.75" style="122" customWidth="1"/>
    <col min="6" max="6" width="24.375" style="122" customWidth="1"/>
    <col min="7" max="7" width="5.75" style="122" customWidth="1"/>
    <col min="8" max="8" width="5.625" style="122" customWidth="1"/>
    <col min="9" max="9" width="12.25" style="122" customWidth="1"/>
    <col min="10" max="10" width="17.125" style="122" customWidth="1"/>
    <col min="11" max="11" width="9.875" style="122" customWidth="1"/>
    <col min="12" max="12" width="12.75" style="122" bestFit="1" customWidth="1"/>
    <col min="13" max="13" width="28.625" style="122" customWidth="1"/>
    <col min="14" max="16384" width="8.625" style="122"/>
  </cols>
  <sheetData>
    <row r="1" spans="1:13" s="116" customFormat="1" ht="13.5" customHeight="1">
      <c r="F1" s="109" t="s">
        <v>177</v>
      </c>
    </row>
    <row r="2" spans="1:13" s="116" customFormat="1" ht="13.5" customHeight="1" thickBot="1"/>
    <row r="3" spans="1:13" s="116" customFormat="1" ht="13.5" customHeight="1">
      <c r="A3" s="227" t="s">
        <v>167</v>
      </c>
      <c r="B3" s="227"/>
      <c r="C3" s="227"/>
      <c r="D3" s="227"/>
      <c r="E3" s="227"/>
      <c r="F3" s="117"/>
      <c r="G3" s="117"/>
      <c r="H3" s="117"/>
      <c r="I3" s="117"/>
      <c r="J3" s="117"/>
      <c r="K3" s="117"/>
      <c r="L3" s="134" t="s">
        <v>132</v>
      </c>
      <c r="M3" s="118" t="s">
        <v>168</v>
      </c>
    </row>
    <row r="4" spans="1:13" s="116" customFormat="1" ht="13.5" customHeight="1" thickBot="1">
      <c r="A4" s="228"/>
      <c r="B4" s="228"/>
      <c r="C4" s="228"/>
      <c r="D4" s="228"/>
      <c r="E4" s="228"/>
      <c r="F4" s="119"/>
      <c r="G4" s="119"/>
      <c r="H4" s="119"/>
      <c r="I4" s="119"/>
      <c r="J4" s="119"/>
      <c r="K4" s="119"/>
      <c r="L4" s="135" t="s">
        <v>133</v>
      </c>
      <c r="M4" s="120" t="s">
        <v>170</v>
      </c>
    </row>
    <row r="5" spans="1:13" s="121" customFormat="1" ht="20.45" customHeight="1">
      <c r="A5" s="231" t="s">
        <v>23</v>
      </c>
      <c r="B5" s="233" t="s">
        <v>24</v>
      </c>
      <c r="C5" s="235" t="s">
        <v>25</v>
      </c>
      <c r="D5" s="97" t="s">
        <v>26</v>
      </c>
      <c r="E5" s="235" t="s">
        <v>27</v>
      </c>
      <c r="F5" s="229" t="s">
        <v>169</v>
      </c>
      <c r="G5" s="98" t="s">
        <v>28</v>
      </c>
      <c r="H5" s="99"/>
      <c r="I5" s="100"/>
      <c r="J5" s="101" t="s">
        <v>29</v>
      </c>
      <c r="K5" s="102" t="s">
        <v>30</v>
      </c>
      <c r="L5" s="103"/>
      <c r="M5" s="229" t="s">
        <v>32</v>
      </c>
    </row>
    <row r="6" spans="1:13" s="121" customFormat="1" ht="24">
      <c r="A6" s="232"/>
      <c r="B6" s="234"/>
      <c r="C6" s="236"/>
      <c r="D6" s="104" t="s">
        <v>33</v>
      </c>
      <c r="E6" s="236"/>
      <c r="F6" s="237"/>
      <c r="G6" s="105" t="s">
        <v>34</v>
      </c>
      <c r="H6" s="105" t="s">
        <v>35</v>
      </c>
      <c r="I6" s="105" t="s">
        <v>36</v>
      </c>
      <c r="J6" s="105" t="s">
        <v>37</v>
      </c>
      <c r="K6" s="105" t="s">
        <v>38</v>
      </c>
      <c r="L6" s="105" t="s">
        <v>39</v>
      </c>
      <c r="M6" s="230"/>
    </row>
    <row r="7" spans="1:13">
      <c r="A7" s="148"/>
      <c r="B7" s="149" t="s">
        <v>40</v>
      </c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50"/>
    </row>
    <row r="8" spans="1:13">
      <c r="A8" s="123">
        <v>1</v>
      </c>
      <c r="B8" s="124" t="s">
        <v>41</v>
      </c>
      <c r="C8" s="124" t="s">
        <v>42</v>
      </c>
      <c r="D8" s="124" t="s">
        <v>44</v>
      </c>
      <c r="E8" s="124" t="s">
        <v>43</v>
      </c>
      <c r="F8" s="124"/>
      <c r="G8" s="124" t="s">
        <v>43</v>
      </c>
      <c r="H8" s="124" t="s">
        <v>43</v>
      </c>
      <c r="I8" s="124" t="s">
        <v>43</v>
      </c>
      <c r="J8" s="124" t="s">
        <v>45</v>
      </c>
      <c r="K8" s="124"/>
      <c r="L8" s="124"/>
      <c r="M8" s="125"/>
    </row>
    <row r="9" spans="1:13">
      <c r="A9" s="123">
        <v>2</v>
      </c>
      <c r="B9" s="124" t="s">
        <v>46</v>
      </c>
      <c r="C9" s="124" t="s">
        <v>47</v>
      </c>
      <c r="D9" s="124" t="s">
        <v>44</v>
      </c>
      <c r="E9" s="124" t="s">
        <v>48</v>
      </c>
      <c r="F9" s="124"/>
      <c r="G9" s="124" t="s">
        <v>43</v>
      </c>
      <c r="H9" s="124" t="s">
        <v>43</v>
      </c>
      <c r="I9" s="124" t="s">
        <v>43</v>
      </c>
      <c r="J9" s="124" t="s">
        <v>46</v>
      </c>
      <c r="K9" s="124"/>
      <c r="L9" s="124"/>
      <c r="M9" s="124"/>
    </row>
    <row r="10" spans="1:13">
      <c r="A10" s="123">
        <v>3</v>
      </c>
      <c r="B10" s="124" t="s">
        <v>49</v>
      </c>
      <c r="C10" s="124" t="s">
        <v>47</v>
      </c>
      <c r="D10" s="124" t="s">
        <v>44</v>
      </c>
      <c r="E10" s="124" t="s">
        <v>48</v>
      </c>
      <c r="F10" s="124"/>
      <c r="G10" s="124" t="s">
        <v>43</v>
      </c>
      <c r="H10" s="124" t="s">
        <v>43</v>
      </c>
      <c r="I10" s="124" t="s">
        <v>43</v>
      </c>
      <c r="J10" s="124" t="s">
        <v>49</v>
      </c>
      <c r="K10" s="124"/>
      <c r="L10" s="124"/>
      <c r="M10" s="124"/>
    </row>
    <row r="11" spans="1:13">
      <c r="A11" s="123">
        <v>4</v>
      </c>
      <c r="B11" s="124" t="s">
        <v>50</v>
      </c>
      <c r="C11" s="124" t="s">
        <v>51</v>
      </c>
      <c r="D11" s="124" t="s">
        <v>44</v>
      </c>
      <c r="E11" s="124" t="s">
        <v>43</v>
      </c>
      <c r="F11" s="124"/>
      <c r="G11" s="124" t="s">
        <v>43</v>
      </c>
      <c r="H11" s="124" t="s">
        <v>43</v>
      </c>
      <c r="I11" s="124" t="s">
        <v>43</v>
      </c>
      <c r="J11" s="124" t="s">
        <v>52</v>
      </c>
      <c r="K11" s="124"/>
      <c r="L11" s="124"/>
      <c r="M11" s="124"/>
    </row>
    <row r="12" spans="1:13">
      <c r="A12" s="123">
        <v>5</v>
      </c>
      <c r="B12" s="124" t="s">
        <v>53</v>
      </c>
      <c r="C12" s="124" t="s">
        <v>47</v>
      </c>
      <c r="D12" s="124" t="s">
        <v>44</v>
      </c>
      <c r="E12" s="124" t="s">
        <v>48</v>
      </c>
      <c r="F12" s="124"/>
      <c r="G12" s="124" t="s">
        <v>43</v>
      </c>
      <c r="H12" s="124" t="s">
        <v>43</v>
      </c>
      <c r="I12" s="124" t="s">
        <v>43</v>
      </c>
      <c r="J12" s="124" t="s">
        <v>53</v>
      </c>
      <c r="K12" s="124"/>
      <c r="L12" s="124"/>
      <c r="M12" s="124"/>
    </row>
    <row r="13" spans="1:13" s="127" customFormat="1">
      <c r="A13" s="123">
        <v>6</v>
      </c>
      <c r="B13" s="126" t="s">
        <v>54</v>
      </c>
      <c r="C13" s="126" t="s">
        <v>47</v>
      </c>
      <c r="D13" s="126" t="s">
        <v>44</v>
      </c>
      <c r="E13" s="126" t="s">
        <v>48</v>
      </c>
      <c r="F13" s="126"/>
      <c r="G13" s="126" t="s">
        <v>43</v>
      </c>
      <c r="H13" s="124" t="s">
        <v>43</v>
      </c>
      <c r="I13" s="124" t="s">
        <v>43</v>
      </c>
      <c r="J13" s="126" t="s">
        <v>54</v>
      </c>
      <c r="K13" s="126"/>
      <c r="L13" s="126"/>
      <c r="M13" s="126"/>
    </row>
    <row r="14" spans="1:13" s="127" customFormat="1">
      <c r="A14" s="123">
        <v>7</v>
      </c>
      <c r="B14" s="126" t="s">
        <v>55</v>
      </c>
      <c r="C14" s="126" t="s">
        <v>47</v>
      </c>
      <c r="D14" s="126" t="s">
        <v>44</v>
      </c>
      <c r="E14" s="126" t="s">
        <v>48</v>
      </c>
      <c r="F14" s="126"/>
      <c r="G14" s="126" t="s">
        <v>43</v>
      </c>
      <c r="H14" s="124" t="s">
        <v>43</v>
      </c>
      <c r="I14" s="124" t="s">
        <v>43</v>
      </c>
      <c r="J14" s="126" t="s">
        <v>55</v>
      </c>
      <c r="K14" s="126"/>
      <c r="L14" s="126"/>
      <c r="M14" s="126"/>
    </row>
    <row r="15" spans="1:13">
      <c r="A15" s="123">
        <v>8</v>
      </c>
      <c r="B15" s="124" t="s">
        <v>56</v>
      </c>
      <c r="C15" s="124" t="s">
        <v>51</v>
      </c>
      <c r="D15" s="124" t="s">
        <v>44</v>
      </c>
      <c r="E15" s="124" t="s">
        <v>43</v>
      </c>
      <c r="F15" s="124"/>
      <c r="G15" s="124" t="s">
        <v>43</v>
      </c>
      <c r="H15" s="124" t="s">
        <v>43</v>
      </c>
      <c r="I15" s="124" t="s">
        <v>43</v>
      </c>
      <c r="J15" s="124" t="s">
        <v>57</v>
      </c>
      <c r="K15" s="124"/>
      <c r="L15" s="124"/>
      <c r="M15" s="124"/>
    </row>
    <row r="16" spans="1:13">
      <c r="A16" s="123">
        <v>9</v>
      </c>
      <c r="B16" s="124" t="s">
        <v>58</v>
      </c>
      <c r="C16" s="124" t="s">
        <v>47</v>
      </c>
      <c r="D16" s="124" t="s">
        <v>44</v>
      </c>
      <c r="E16" s="124" t="s">
        <v>48</v>
      </c>
      <c r="F16" s="124"/>
      <c r="G16" s="124" t="s">
        <v>43</v>
      </c>
      <c r="H16" s="124" t="s">
        <v>43</v>
      </c>
      <c r="I16" s="124" t="s">
        <v>43</v>
      </c>
      <c r="J16" s="124" t="s">
        <v>58</v>
      </c>
      <c r="K16" s="124"/>
      <c r="L16" s="124"/>
      <c r="M16" s="124"/>
    </row>
    <row r="17" spans="1:13">
      <c r="A17" s="123">
        <v>10</v>
      </c>
      <c r="B17" s="124" t="s">
        <v>59</v>
      </c>
      <c r="C17" s="124" t="s">
        <v>51</v>
      </c>
      <c r="D17" s="124" t="s">
        <v>44</v>
      </c>
      <c r="E17" s="124" t="s">
        <v>43</v>
      </c>
      <c r="F17" s="124"/>
      <c r="G17" s="124" t="s">
        <v>43</v>
      </c>
      <c r="H17" s="124" t="s">
        <v>43</v>
      </c>
      <c r="I17" s="124" t="s">
        <v>43</v>
      </c>
      <c r="J17" s="124" t="s">
        <v>60</v>
      </c>
      <c r="K17" s="124"/>
      <c r="L17" s="124"/>
      <c r="M17" s="124"/>
    </row>
    <row r="18" spans="1:13">
      <c r="A18" s="123">
        <v>11</v>
      </c>
      <c r="B18" s="124" t="s">
        <v>61</v>
      </c>
      <c r="C18" s="124" t="s">
        <v>62</v>
      </c>
      <c r="D18" s="124" t="s">
        <v>44</v>
      </c>
      <c r="E18" s="124" t="s">
        <v>48</v>
      </c>
      <c r="F18" s="124"/>
      <c r="G18" s="124" t="s">
        <v>43</v>
      </c>
      <c r="H18" s="124" t="s">
        <v>43</v>
      </c>
      <c r="I18" s="124" t="s">
        <v>43</v>
      </c>
      <c r="J18" s="124" t="s">
        <v>61</v>
      </c>
      <c r="K18" s="124"/>
      <c r="L18" s="124"/>
      <c r="M18" s="124"/>
    </row>
    <row r="19" spans="1:13">
      <c r="A19" s="123">
        <v>12</v>
      </c>
      <c r="B19" s="124" t="s">
        <v>63</v>
      </c>
      <c r="C19" s="124" t="s">
        <v>62</v>
      </c>
      <c r="D19" s="124" t="s">
        <v>44</v>
      </c>
      <c r="E19" s="124" t="s">
        <v>48</v>
      </c>
      <c r="F19" s="124"/>
      <c r="G19" s="124" t="s">
        <v>43</v>
      </c>
      <c r="H19" s="124" t="s">
        <v>43</v>
      </c>
      <c r="I19" s="124" t="s">
        <v>43</v>
      </c>
      <c r="J19" s="124" t="s">
        <v>63</v>
      </c>
      <c r="K19" s="124"/>
      <c r="L19" s="124"/>
      <c r="M19" s="124"/>
    </row>
    <row r="20" spans="1:13">
      <c r="A20" s="123">
        <v>13</v>
      </c>
      <c r="B20" s="124" t="s">
        <v>64</v>
      </c>
      <c r="C20" s="124" t="s">
        <v>51</v>
      </c>
      <c r="D20" s="124" t="s">
        <v>44</v>
      </c>
      <c r="E20" s="124" t="s">
        <v>43</v>
      </c>
      <c r="F20" s="124"/>
      <c r="G20" s="124" t="s">
        <v>43</v>
      </c>
      <c r="H20" s="124" t="s">
        <v>43</v>
      </c>
      <c r="I20" s="124" t="s">
        <v>43</v>
      </c>
      <c r="J20" s="124" t="s">
        <v>65</v>
      </c>
      <c r="K20" s="124"/>
      <c r="L20" s="124"/>
      <c r="M20" s="124"/>
    </row>
    <row r="21" spans="1:13">
      <c r="A21" s="123">
        <v>14</v>
      </c>
      <c r="B21" s="124" t="s">
        <v>66</v>
      </c>
      <c r="C21" s="124" t="s">
        <v>62</v>
      </c>
      <c r="D21" s="124" t="s">
        <v>44</v>
      </c>
      <c r="E21" s="124" t="s">
        <v>48</v>
      </c>
      <c r="F21" s="124"/>
      <c r="G21" s="124" t="s">
        <v>43</v>
      </c>
      <c r="H21" s="124" t="s">
        <v>43</v>
      </c>
      <c r="I21" s="124" t="s">
        <v>43</v>
      </c>
      <c r="J21" s="124" t="s">
        <v>66</v>
      </c>
      <c r="K21" s="124"/>
      <c r="L21" s="124"/>
      <c r="M21" s="124"/>
    </row>
    <row r="22" spans="1:13">
      <c r="A22" s="123">
        <v>15</v>
      </c>
      <c r="B22" s="124" t="s">
        <v>67</v>
      </c>
      <c r="C22" s="124" t="s">
        <v>62</v>
      </c>
      <c r="D22" s="124" t="s">
        <v>44</v>
      </c>
      <c r="E22" s="124" t="s">
        <v>48</v>
      </c>
      <c r="F22" s="124"/>
      <c r="G22" s="124" t="s">
        <v>43</v>
      </c>
      <c r="H22" s="124" t="s">
        <v>43</v>
      </c>
      <c r="I22" s="124" t="s">
        <v>43</v>
      </c>
      <c r="J22" s="124" t="s">
        <v>67</v>
      </c>
      <c r="K22" s="124"/>
      <c r="L22" s="124"/>
      <c r="M22" s="124"/>
    </row>
  </sheetData>
  <mergeCells count="7">
    <mergeCell ref="A3:E4"/>
    <mergeCell ref="M5:M6"/>
    <mergeCell ref="A5:A6"/>
    <mergeCell ref="B5:B6"/>
    <mergeCell ref="C5:C6"/>
    <mergeCell ref="E5:E6"/>
    <mergeCell ref="F5:F6"/>
  </mergeCells>
  <phoneticPr fontId="1"/>
  <pageMargins left="0.7" right="0.7" top="0.75" bottom="0.75" header="0.3" footer="0.3"/>
  <pageSetup paperSize="9" scale="71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7714D-790B-44CA-8CAF-805D982CD407}">
  <sheetPr>
    <pageSetUpPr fitToPage="1"/>
  </sheetPr>
  <dimension ref="A1:CS38"/>
  <sheetViews>
    <sheetView showGridLines="0" view="pageBreakPreview" zoomScaleNormal="70" zoomScaleSheetLayoutView="100" workbookViewId="0">
      <selection activeCell="Z1" sqref="Z1"/>
    </sheetView>
  </sheetViews>
  <sheetFormatPr defaultColWidth="2.125" defaultRowHeight="18.75"/>
  <sheetData>
    <row r="1" spans="1:97">
      <c r="Z1" s="109" t="s">
        <v>177</v>
      </c>
    </row>
    <row r="2" spans="1:97" s="79" customFormat="1" ht="13.5" customHeight="1" thickBot="1"/>
    <row r="3" spans="1:97" s="79" customFormat="1" ht="13.5" customHeight="1">
      <c r="A3" s="238" t="s">
        <v>173</v>
      </c>
      <c r="B3" s="238"/>
      <c r="C3" s="238"/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8"/>
      <c r="O3" s="238"/>
      <c r="P3" s="238"/>
      <c r="Q3" s="238"/>
      <c r="R3" s="238"/>
      <c r="S3" s="238"/>
      <c r="T3" s="238"/>
      <c r="U3" s="238"/>
      <c r="V3" s="238"/>
      <c r="W3" s="238"/>
      <c r="X3" s="238"/>
      <c r="Y3" s="238"/>
      <c r="Z3" s="238"/>
      <c r="AA3" s="145"/>
      <c r="AB3" s="136"/>
      <c r="AC3" s="136"/>
      <c r="AD3" s="136"/>
      <c r="AE3" s="136"/>
      <c r="AF3" s="136"/>
      <c r="AG3" s="136"/>
      <c r="AH3" s="136"/>
      <c r="CB3" s="107" t="s">
        <v>132</v>
      </c>
      <c r="CC3" s="45"/>
      <c r="CD3" s="45"/>
      <c r="CE3" s="45"/>
      <c r="CF3" s="45"/>
      <c r="CG3" s="45"/>
      <c r="CH3" s="45"/>
      <c r="CI3" s="78" t="str">
        <f>更新履歴!K1</f>
        <v>CNレポート作成アプリ「LecMoc」</v>
      </c>
      <c r="CJ3" s="50"/>
      <c r="CK3" s="45"/>
      <c r="CL3" s="45"/>
      <c r="CM3" s="45"/>
      <c r="CN3" s="45"/>
      <c r="CO3" s="45"/>
      <c r="CP3" s="45"/>
      <c r="CQ3" s="45"/>
      <c r="CR3" s="45"/>
      <c r="CS3" s="46"/>
    </row>
    <row r="4" spans="1:97" s="79" customFormat="1" ht="13.5" customHeight="1">
      <c r="A4" s="239"/>
      <c r="B4" s="239"/>
      <c r="C4" s="239"/>
      <c r="D4" s="239"/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146"/>
      <c r="AB4" s="137"/>
      <c r="AC4" s="137"/>
      <c r="AD4" s="137"/>
      <c r="AE4" s="137"/>
      <c r="AF4" s="137"/>
      <c r="AG4" s="137"/>
      <c r="AH4" s="137"/>
      <c r="AI4" s="138"/>
      <c r="CB4" s="139" t="s">
        <v>133</v>
      </c>
      <c r="CF4" s="140"/>
      <c r="CG4" s="140"/>
      <c r="CH4" s="140"/>
      <c r="CI4" s="142" t="s">
        <v>174</v>
      </c>
      <c r="CJ4" s="141"/>
      <c r="CL4" s="143"/>
      <c r="CM4" s="143"/>
      <c r="CN4" s="143"/>
      <c r="CO4" s="143"/>
      <c r="CP4" s="143"/>
      <c r="CQ4" s="143"/>
      <c r="CR4" s="143"/>
      <c r="CS4" s="144"/>
    </row>
    <row r="5" spans="1:97" s="79" customFormat="1" ht="13.5" customHeight="1">
      <c r="A5" s="240" t="s">
        <v>178</v>
      </c>
      <c r="B5" s="241"/>
      <c r="C5" s="242"/>
      <c r="D5" s="249" t="s">
        <v>179</v>
      </c>
      <c r="E5" s="250"/>
      <c r="F5" s="250"/>
      <c r="G5" s="250"/>
      <c r="H5" s="250"/>
      <c r="I5" s="250"/>
      <c r="J5" s="250"/>
      <c r="K5" s="250"/>
      <c r="L5" s="251"/>
      <c r="M5" s="258" t="s">
        <v>180</v>
      </c>
      <c r="N5" s="259"/>
      <c r="O5" s="259"/>
      <c r="P5" s="259"/>
      <c r="Q5" s="259"/>
      <c r="R5" s="259"/>
      <c r="S5" s="259"/>
      <c r="T5" s="259"/>
      <c r="U5" s="259"/>
      <c r="V5" s="259"/>
      <c r="W5" s="259"/>
      <c r="X5" s="259"/>
      <c r="Y5" s="259"/>
      <c r="Z5" s="259"/>
      <c r="AA5" s="259"/>
      <c r="AB5" s="259"/>
      <c r="AC5" s="259"/>
      <c r="AD5" s="259"/>
      <c r="AE5" s="259"/>
      <c r="AF5" s="259"/>
      <c r="AG5" s="259"/>
      <c r="AH5" s="259"/>
      <c r="AI5" s="259"/>
      <c r="AJ5" s="259"/>
      <c r="AK5" s="259"/>
      <c r="AL5" s="259"/>
      <c r="AM5" s="259"/>
      <c r="AN5" s="259"/>
      <c r="AO5" s="259"/>
      <c r="AP5" s="259"/>
      <c r="AQ5" s="259"/>
      <c r="AR5" s="259"/>
      <c r="AS5" s="259"/>
      <c r="AT5" s="259"/>
      <c r="AU5" s="259"/>
      <c r="AV5" s="259"/>
      <c r="AW5" s="259"/>
      <c r="AX5" s="259"/>
      <c r="AY5" s="259"/>
      <c r="AZ5" s="259"/>
      <c r="BA5" s="259"/>
      <c r="BB5" s="259"/>
      <c r="BC5" s="259"/>
      <c r="BD5" s="259"/>
      <c r="BE5" s="259"/>
      <c r="BF5" s="259"/>
      <c r="BG5" s="259"/>
      <c r="BH5" s="259"/>
      <c r="BI5" s="259"/>
      <c r="BJ5" s="259"/>
      <c r="BK5" s="259"/>
      <c r="BL5" s="259"/>
      <c r="BM5" s="259"/>
      <c r="BN5" s="259"/>
      <c r="BO5" s="259"/>
      <c r="BP5" s="259"/>
      <c r="BQ5" s="260"/>
      <c r="BR5" s="258" t="s">
        <v>181</v>
      </c>
      <c r="BS5" s="259"/>
      <c r="BT5" s="259"/>
      <c r="BU5" s="259"/>
      <c r="BV5" s="259"/>
      <c r="BW5" s="259"/>
      <c r="BX5" s="259"/>
      <c r="BY5" s="259"/>
      <c r="BZ5" s="259"/>
      <c r="CA5" s="259"/>
      <c r="CB5" s="259"/>
      <c r="CC5" s="259"/>
      <c r="CD5" s="259"/>
      <c r="CE5" s="259"/>
      <c r="CF5" s="259"/>
      <c r="CG5" s="259"/>
      <c r="CH5" s="259"/>
      <c r="CI5" s="259"/>
      <c r="CJ5" s="259"/>
      <c r="CK5" s="259"/>
      <c r="CL5" s="259"/>
      <c r="CM5" s="259"/>
      <c r="CN5" s="259"/>
      <c r="CO5" s="259"/>
      <c r="CP5" s="259"/>
      <c r="CQ5" s="259"/>
      <c r="CR5" s="259"/>
      <c r="CS5" s="261"/>
    </row>
    <row r="6" spans="1:97" s="79" customFormat="1" ht="13.5" customHeight="1">
      <c r="A6" s="243"/>
      <c r="B6" s="244"/>
      <c r="C6" s="245"/>
      <c r="D6" s="252"/>
      <c r="E6" s="253"/>
      <c r="F6" s="253"/>
      <c r="G6" s="253"/>
      <c r="H6" s="253"/>
      <c r="I6" s="253"/>
      <c r="J6" s="253"/>
      <c r="K6" s="253"/>
      <c r="L6" s="254"/>
      <c r="M6" s="262" t="s">
        <v>182</v>
      </c>
      <c r="N6" s="263"/>
      <c r="O6" s="262" t="s">
        <v>183</v>
      </c>
      <c r="P6" s="268"/>
      <c r="Q6" s="263"/>
      <c r="R6" s="262" t="s">
        <v>184</v>
      </c>
      <c r="S6" s="268"/>
      <c r="T6" s="263"/>
      <c r="U6" s="262" t="s">
        <v>185</v>
      </c>
      <c r="V6" s="268"/>
      <c r="W6" s="263"/>
      <c r="X6" s="271" t="s">
        <v>186</v>
      </c>
      <c r="Y6" s="271"/>
      <c r="Z6" s="271"/>
      <c r="AA6" s="271"/>
      <c r="AB6" s="271"/>
      <c r="AC6" s="271"/>
      <c r="AD6" s="271"/>
      <c r="AE6" s="271"/>
      <c r="AF6" s="271"/>
      <c r="AG6" s="271"/>
      <c r="AH6" s="272" t="s">
        <v>187</v>
      </c>
      <c r="AI6" s="273"/>
      <c r="AJ6" s="273"/>
      <c r="AK6" s="273"/>
      <c r="AL6" s="273"/>
      <c r="AM6" s="273"/>
      <c r="AN6" s="273"/>
      <c r="AO6" s="273"/>
      <c r="AP6" s="273"/>
      <c r="AQ6" s="273"/>
      <c r="AR6" s="273"/>
      <c r="AS6" s="273"/>
      <c r="AT6" s="273"/>
      <c r="AU6" s="273"/>
      <c r="AV6" s="273"/>
      <c r="AW6" s="273"/>
      <c r="AX6" s="273"/>
      <c r="AY6" s="273"/>
      <c r="AZ6" s="273"/>
      <c r="BA6" s="273"/>
      <c r="BB6" s="273"/>
      <c r="BC6" s="273"/>
      <c r="BD6" s="273"/>
      <c r="BE6" s="273"/>
      <c r="BF6" s="273"/>
      <c r="BG6" s="273"/>
      <c r="BH6" s="273"/>
      <c r="BI6" s="273"/>
      <c r="BJ6" s="273"/>
      <c r="BK6" s="273"/>
      <c r="BL6" s="273"/>
      <c r="BM6" s="274"/>
      <c r="BN6" s="262" t="s">
        <v>188</v>
      </c>
      <c r="BO6" s="268"/>
      <c r="BP6" s="268"/>
      <c r="BQ6" s="263"/>
      <c r="BR6" s="262" t="s">
        <v>189</v>
      </c>
      <c r="BS6" s="268"/>
      <c r="BT6" s="268"/>
      <c r="BU6" s="262" t="s">
        <v>190</v>
      </c>
      <c r="BV6" s="268"/>
      <c r="BW6" s="268"/>
      <c r="BX6" s="268"/>
      <c r="BY6" s="268"/>
      <c r="BZ6" s="268"/>
      <c r="CA6" s="268"/>
      <c r="CB6" s="268"/>
      <c r="CC6" s="268"/>
      <c r="CD6" s="268"/>
      <c r="CE6" s="268"/>
      <c r="CF6" s="268"/>
      <c r="CG6" s="268"/>
      <c r="CH6" s="268"/>
      <c r="CI6" s="268"/>
      <c r="CJ6" s="268"/>
      <c r="CK6" s="268"/>
      <c r="CL6" s="268"/>
      <c r="CM6" s="268"/>
      <c r="CN6" s="268"/>
      <c r="CO6" s="263"/>
      <c r="CP6" s="262" t="s">
        <v>188</v>
      </c>
      <c r="CQ6" s="268"/>
      <c r="CR6" s="268"/>
      <c r="CS6" s="275"/>
    </row>
    <row r="7" spans="1:97" s="79" customFormat="1" ht="13.5" customHeight="1">
      <c r="A7" s="243"/>
      <c r="B7" s="244"/>
      <c r="C7" s="245"/>
      <c r="D7" s="252"/>
      <c r="E7" s="253"/>
      <c r="F7" s="253"/>
      <c r="G7" s="253"/>
      <c r="H7" s="253"/>
      <c r="I7" s="253"/>
      <c r="J7" s="253"/>
      <c r="K7" s="253"/>
      <c r="L7" s="254"/>
      <c r="M7" s="264"/>
      <c r="N7" s="265"/>
      <c r="O7" s="264"/>
      <c r="P7" s="269"/>
      <c r="Q7" s="265"/>
      <c r="R7" s="264"/>
      <c r="S7" s="269"/>
      <c r="T7" s="265"/>
      <c r="U7" s="264"/>
      <c r="V7" s="269"/>
      <c r="W7" s="265"/>
      <c r="X7" s="249" t="s">
        <v>191</v>
      </c>
      <c r="Y7" s="250"/>
      <c r="Z7" s="250"/>
      <c r="AA7" s="250"/>
      <c r="AB7" s="251"/>
      <c r="AC7" s="249" t="s">
        <v>192</v>
      </c>
      <c r="AD7" s="250"/>
      <c r="AE7" s="250"/>
      <c r="AF7" s="250"/>
      <c r="AG7" s="251"/>
      <c r="AH7" s="272" t="s">
        <v>193</v>
      </c>
      <c r="AI7" s="273"/>
      <c r="AJ7" s="273"/>
      <c r="AK7" s="273"/>
      <c r="AL7" s="273"/>
      <c r="AM7" s="273"/>
      <c r="AN7" s="273"/>
      <c r="AO7" s="273"/>
      <c r="AP7" s="273"/>
      <c r="AQ7" s="273"/>
      <c r="AR7" s="273"/>
      <c r="AS7" s="273"/>
      <c r="AT7" s="273"/>
      <c r="AU7" s="274"/>
      <c r="AV7" s="272" t="s">
        <v>194</v>
      </c>
      <c r="AW7" s="273"/>
      <c r="AX7" s="273"/>
      <c r="AY7" s="273"/>
      <c r="AZ7" s="273"/>
      <c r="BA7" s="273"/>
      <c r="BB7" s="273"/>
      <c r="BC7" s="273"/>
      <c r="BD7" s="273"/>
      <c r="BE7" s="273"/>
      <c r="BF7" s="273"/>
      <c r="BG7" s="273"/>
      <c r="BH7" s="273"/>
      <c r="BI7" s="273"/>
      <c r="BJ7" s="273"/>
      <c r="BK7" s="273"/>
      <c r="BL7" s="273"/>
      <c r="BM7" s="274"/>
      <c r="BN7" s="264"/>
      <c r="BO7" s="269"/>
      <c r="BP7" s="269"/>
      <c r="BQ7" s="265"/>
      <c r="BR7" s="264"/>
      <c r="BS7" s="269"/>
      <c r="BT7" s="269"/>
      <c r="BU7" s="264"/>
      <c r="BV7" s="269"/>
      <c r="BW7" s="269"/>
      <c r="BX7" s="269"/>
      <c r="BY7" s="269"/>
      <c r="BZ7" s="269"/>
      <c r="CA7" s="269"/>
      <c r="CB7" s="269"/>
      <c r="CC7" s="269"/>
      <c r="CD7" s="269"/>
      <c r="CE7" s="269"/>
      <c r="CF7" s="269"/>
      <c r="CG7" s="269"/>
      <c r="CH7" s="269"/>
      <c r="CI7" s="269"/>
      <c r="CJ7" s="269"/>
      <c r="CK7" s="269"/>
      <c r="CL7" s="269"/>
      <c r="CM7" s="269"/>
      <c r="CN7" s="269"/>
      <c r="CO7" s="265"/>
      <c r="CP7" s="264"/>
      <c r="CQ7" s="269"/>
      <c r="CR7" s="269"/>
      <c r="CS7" s="276"/>
    </row>
    <row r="8" spans="1:97" s="79" customFormat="1" ht="40.5" customHeight="1" thickBot="1">
      <c r="A8" s="246"/>
      <c r="B8" s="247"/>
      <c r="C8" s="248"/>
      <c r="D8" s="255"/>
      <c r="E8" s="256"/>
      <c r="F8" s="256"/>
      <c r="G8" s="256"/>
      <c r="H8" s="256"/>
      <c r="I8" s="256"/>
      <c r="J8" s="256"/>
      <c r="K8" s="256"/>
      <c r="L8" s="257"/>
      <c r="M8" s="266"/>
      <c r="N8" s="267"/>
      <c r="O8" s="266"/>
      <c r="P8" s="270"/>
      <c r="Q8" s="267"/>
      <c r="R8" s="266"/>
      <c r="S8" s="270"/>
      <c r="T8" s="267"/>
      <c r="U8" s="266"/>
      <c r="V8" s="270"/>
      <c r="W8" s="267"/>
      <c r="X8" s="255"/>
      <c r="Y8" s="256"/>
      <c r="Z8" s="256"/>
      <c r="AA8" s="256"/>
      <c r="AB8" s="257"/>
      <c r="AC8" s="255"/>
      <c r="AD8" s="256"/>
      <c r="AE8" s="256"/>
      <c r="AF8" s="256"/>
      <c r="AG8" s="257"/>
      <c r="AH8" s="278" t="s">
        <v>195</v>
      </c>
      <c r="AI8" s="279"/>
      <c r="AJ8" s="282" t="s">
        <v>196</v>
      </c>
      <c r="AK8" s="279"/>
      <c r="AL8" s="282" t="s">
        <v>197</v>
      </c>
      <c r="AM8" s="279"/>
      <c r="AN8" s="278" t="s">
        <v>198</v>
      </c>
      <c r="AO8" s="279"/>
      <c r="AP8" s="280" t="s">
        <v>199</v>
      </c>
      <c r="AQ8" s="281"/>
      <c r="AR8" s="278" t="s">
        <v>200</v>
      </c>
      <c r="AS8" s="279"/>
      <c r="AT8" s="278" t="s">
        <v>201</v>
      </c>
      <c r="AU8" s="279"/>
      <c r="AV8" s="278" t="s">
        <v>195</v>
      </c>
      <c r="AW8" s="279"/>
      <c r="AX8" s="282" t="s">
        <v>196</v>
      </c>
      <c r="AY8" s="279"/>
      <c r="AZ8" s="282" t="s">
        <v>197</v>
      </c>
      <c r="BA8" s="279"/>
      <c r="BB8" s="278" t="s">
        <v>198</v>
      </c>
      <c r="BC8" s="279"/>
      <c r="BD8" s="278" t="s">
        <v>202</v>
      </c>
      <c r="BE8" s="279"/>
      <c r="BF8" s="278" t="s">
        <v>203</v>
      </c>
      <c r="BG8" s="279"/>
      <c r="BH8" s="280" t="s">
        <v>199</v>
      </c>
      <c r="BI8" s="281"/>
      <c r="BJ8" s="278" t="s">
        <v>200</v>
      </c>
      <c r="BK8" s="279"/>
      <c r="BL8" s="278" t="s">
        <v>204</v>
      </c>
      <c r="BM8" s="279"/>
      <c r="BN8" s="266"/>
      <c r="BO8" s="270"/>
      <c r="BP8" s="270"/>
      <c r="BQ8" s="267"/>
      <c r="BR8" s="266"/>
      <c r="BS8" s="270"/>
      <c r="BT8" s="270"/>
      <c r="BU8" s="266"/>
      <c r="BV8" s="270"/>
      <c r="BW8" s="270"/>
      <c r="BX8" s="270"/>
      <c r="BY8" s="270"/>
      <c r="BZ8" s="270"/>
      <c r="CA8" s="270"/>
      <c r="CB8" s="270"/>
      <c r="CC8" s="270"/>
      <c r="CD8" s="270"/>
      <c r="CE8" s="270"/>
      <c r="CF8" s="270"/>
      <c r="CG8" s="270"/>
      <c r="CH8" s="270"/>
      <c r="CI8" s="270"/>
      <c r="CJ8" s="270"/>
      <c r="CK8" s="270"/>
      <c r="CL8" s="270"/>
      <c r="CM8" s="270"/>
      <c r="CN8" s="270"/>
      <c r="CO8" s="267"/>
      <c r="CP8" s="266"/>
      <c r="CQ8" s="270"/>
      <c r="CR8" s="270"/>
      <c r="CS8" s="277"/>
    </row>
    <row r="9" spans="1:97" s="147" customFormat="1" ht="13.5" customHeight="1" thickTop="1">
      <c r="A9" s="283"/>
      <c r="B9" s="284"/>
      <c r="C9" s="285"/>
      <c r="D9" s="292"/>
      <c r="E9" s="284"/>
      <c r="F9" s="284"/>
      <c r="G9" s="284"/>
      <c r="H9" s="284"/>
      <c r="I9" s="284"/>
      <c r="J9" s="284"/>
      <c r="K9" s="284"/>
      <c r="L9" s="285"/>
      <c r="M9" s="295"/>
      <c r="N9" s="296"/>
      <c r="O9" s="295"/>
      <c r="P9" s="301"/>
      <c r="Q9" s="296"/>
      <c r="R9" s="295"/>
      <c r="S9" s="301"/>
      <c r="T9" s="296"/>
      <c r="U9" s="295"/>
      <c r="V9" s="301"/>
      <c r="W9" s="296"/>
      <c r="X9" s="295"/>
      <c r="Y9" s="301"/>
      <c r="Z9" s="301"/>
      <c r="AA9" s="301"/>
      <c r="AB9" s="296"/>
      <c r="AC9" s="295"/>
      <c r="AD9" s="301"/>
      <c r="AE9" s="301"/>
      <c r="AF9" s="301"/>
      <c r="AG9" s="296"/>
      <c r="AH9" s="295"/>
      <c r="AI9" s="296"/>
      <c r="AJ9" s="295"/>
      <c r="AK9" s="296"/>
      <c r="AL9" s="295"/>
      <c r="AM9" s="296"/>
      <c r="AN9" s="295"/>
      <c r="AO9" s="296"/>
      <c r="AP9" s="295"/>
      <c r="AQ9" s="296"/>
      <c r="AR9" s="295"/>
      <c r="AS9" s="296"/>
      <c r="AT9" s="295"/>
      <c r="AU9" s="296"/>
      <c r="AV9" s="295"/>
      <c r="AW9" s="296"/>
      <c r="AX9" s="295"/>
      <c r="AY9" s="296"/>
      <c r="AZ9" s="295"/>
      <c r="BA9" s="296"/>
      <c r="BB9" s="295"/>
      <c r="BC9" s="296"/>
      <c r="BD9" s="295"/>
      <c r="BE9" s="296"/>
      <c r="BF9" s="295"/>
      <c r="BG9" s="296"/>
      <c r="BH9" s="295"/>
      <c r="BI9" s="296"/>
      <c r="BJ9" s="295"/>
      <c r="BK9" s="296"/>
      <c r="BL9" s="295"/>
      <c r="BM9" s="296"/>
      <c r="BN9" s="295"/>
      <c r="BO9" s="301"/>
      <c r="BP9" s="301"/>
      <c r="BQ9" s="296"/>
      <c r="BR9" s="295"/>
      <c r="BS9" s="301"/>
      <c r="BT9" s="296"/>
      <c r="BU9" s="295"/>
      <c r="BV9" s="301"/>
      <c r="BW9" s="301"/>
      <c r="BX9" s="301"/>
      <c r="BY9" s="301"/>
      <c r="BZ9" s="301"/>
      <c r="CA9" s="301"/>
      <c r="CB9" s="301"/>
      <c r="CC9" s="301"/>
      <c r="CD9" s="301"/>
      <c r="CE9" s="301"/>
      <c r="CF9" s="301"/>
      <c r="CG9" s="301"/>
      <c r="CH9" s="301"/>
      <c r="CI9" s="301"/>
      <c r="CJ9" s="301"/>
      <c r="CK9" s="301"/>
      <c r="CL9" s="301"/>
      <c r="CM9" s="301"/>
      <c r="CN9" s="301"/>
      <c r="CO9" s="296"/>
      <c r="CP9" s="295"/>
      <c r="CQ9" s="301"/>
      <c r="CR9" s="301"/>
      <c r="CS9" s="304"/>
    </row>
    <row r="10" spans="1:97" s="147" customFormat="1" ht="13.5" customHeight="1">
      <c r="A10" s="286"/>
      <c r="B10" s="287"/>
      <c r="C10" s="288"/>
      <c r="D10" s="293"/>
      <c r="E10" s="287"/>
      <c r="F10" s="287"/>
      <c r="G10" s="287"/>
      <c r="H10" s="287"/>
      <c r="I10" s="287"/>
      <c r="J10" s="287"/>
      <c r="K10" s="287"/>
      <c r="L10" s="288"/>
      <c r="M10" s="297"/>
      <c r="N10" s="298"/>
      <c r="O10" s="297"/>
      <c r="P10" s="302"/>
      <c r="Q10" s="298"/>
      <c r="R10" s="297"/>
      <c r="S10" s="302"/>
      <c r="T10" s="298"/>
      <c r="U10" s="297"/>
      <c r="V10" s="302"/>
      <c r="W10" s="298"/>
      <c r="X10" s="297"/>
      <c r="Y10" s="302"/>
      <c r="Z10" s="302"/>
      <c r="AA10" s="302"/>
      <c r="AB10" s="298"/>
      <c r="AC10" s="297"/>
      <c r="AD10" s="302"/>
      <c r="AE10" s="302"/>
      <c r="AF10" s="302"/>
      <c r="AG10" s="298"/>
      <c r="AH10" s="297"/>
      <c r="AI10" s="298"/>
      <c r="AJ10" s="297"/>
      <c r="AK10" s="298"/>
      <c r="AL10" s="297"/>
      <c r="AM10" s="298"/>
      <c r="AN10" s="297"/>
      <c r="AO10" s="298"/>
      <c r="AP10" s="297"/>
      <c r="AQ10" s="298"/>
      <c r="AR10" s="297"/>
      <c r="AS10" s="298"/>
      <c r="AT10" s="297"/>
      <c r="AU10" s="298"/>
      <c r="AV10" s="297"/>
      <c r="AW10" s="298"/>
      <c r="AX10" s="297"/>
      <c r="AY10" s="298"/>
      <c r="AZ10" s="297"/>
      <c r="BA10" s="298"/>
      <c r="BB10" s="297"/>
      <c r="BC10" s="298"/>
      <c r="BD10" s="297"/>
      <c r="BE10" s="298"/>
      <c r="BF10" s="297"/>
      <c r="BG10" s="298"/>
      <c r="BH10" s="297"/>
      <c r="BI10" s="298"/>
      <c r="BJ10" s="297"/>
      <c r="BK10" s="298"/>
      <c r="BL10" s="297"/>
      <c r="BM10" s="298"/>
      <c r="BN10" s="297"/>
      <c r="BO10" s="302"/>
      <c r="BP10" s="302"/>
      <c r="BQ10" s="298"/>
      <c r="BR10" s="297"/>
      <c r="BS10" s="302"/>
      <c r="BT10" s="298"/>
      <c r="BU10" s="297"/>
      <c r="BV10" s="302"/>
      <c r="BW10" s="302"/>
      <c r="BX10" s="302"/>
      <c r="BY10" s="302"/>
      <c r="BZ10" s="302"/>
      <c r="CA10" s="302"/>
      <c r="CB10" s="302"/>
      <c r="CC10" s="302"/>
      <c r="CD10" s="302"/>
      <c r="CE10" s="302"/>
      <c r="CF10" s="302"/>
      <c r="CG10" s="302"/>
      <c r="CH10" s="302"/>
      <c r="CI10" s="302"/>
      <c r="CJ10" s="302"/>
      <c r="CK10" s="302"/>
      <c r="CL10" s="302"/>
      <c r="CM10" s="302"/>
      <c r="CN10" s="302"/>
      <c r="CO10" s="298"/>
      <c r="CP10" s="297"/>
      <c r="CQ10" s="302"/>
      <c r="CR10" s="302"/>
      <c r="CS10" s="305"/>
    </row>
    <row r="11" spans="1:97" s="147" customFormat="1" ht="13.5" customHeight="1">
      <c r="A11" s="286"/>
      <c r="B11" s="287"/>
      <c r="C11" s="288"/>
      <c r="D11" s="293"/>
      <c r="E11" s="287"/>
      <c r="F11" s="287"/>
      <c r="G11" s="287"/>
      <c r="H11" s="287"/>
      <c r="I11" s="287"/>
      <c r="J11" s="287"/>
      <c r="K11" s="287"/>
      <c r="L11" s="288"/>
      <c r="M11" s="297"/>
      <c r="N11" s="298"/>
      <c r="O11" s="297"/>
      <c r="P11" s="302"/>
      <c r="Q11" s="298"/>
      <c r="R11" s="297"/>
      <c r="S11" s="302"/>
      <c r="T11" s="298"/>
      <c r="U11" s="297"/>
      <c r="V11" s="302"/>
      <c r="W11" s="298"/>
      <c r="X11" s="297"/>
      <c r="Y11" s="302"/>
      <c r="Z11" s="302"/>
      <c r="AA11" s="302"/>
      <c r="AB11" s="298"/>
      <c r="AC11" s="297"/>
      <c r="AD11" s="302"/>
      <c r="AE11" s="302"/>
      <c r="AF11" s="302"/>
      <c r="AG11" s="298"/>
      <c r="AH11" s="297"/>
      <c r="AI11" s="298"/>
      <c r="AJ11" s="297"/>
      <c r="AK11" s="298"/>
      <c r="AL11" s="297"/>
      <c r="AM11" s="298"/>
      <c r="AN11" s="297"/>
      <c r="AO11" s="298"/>
      <c r="AP11" s="297"/>
      <c r="AQ11" s="298"/>
      <c r="AR11" s="297"/>
      <c r="AS11" s="298"/>
      <c r="AT11" s="297"/>
      <c r="AU11" s="298"/>
      <c r="AV11" s="297"/>
      <c r="AW11" s="298"/>
      <c r="AX11" s="297"/>
      <c r="AY11" s="298"/>
      <c r="AZ11" s="297"/>
      <c r="BA11" s="298"/>
      <c r="BB11" s="297"/>
      <c r="BC11" s="298"/>
      <c r="BD11" s="297"/>
      <c r="BE11" s="298"/>
      <c r="BF11" s="297"/>
      <c r="BG11" s="298"/>
      <c r="BH11" s="297"/>
      <c r="BI11" s="298"/>
      <c r="BJ11" s="297"/>
      <c r="BK11" s="298"/>
      <c r="BL11" s="297"/>
      <c r="BM11" s="298"/>
      <c r="BN11" s="297"/>
      <c r="BO11" s="302"/>
      <c r="BP11" s="302"/>
      <c r="BQ11" s="298"/>
      <c r="BR11" s="297"/>
      <c r="BS11" s="302"/>
      <c r="BT11" s="298"/>
      <c r="BU11" s="297"/>
      <c r="BV11" s="302"/>
      <c r="BW11" s="302"/>
      <c r="BX11" s="302"/>
      <c r="BY11" s="302"/>
      <c r="BZ11" s="302"/>
      <c r="CA11" s="302"/>
      <c r="CB11" s="302"/>
      <c r="CC11" s="302"/>
      <c r="CD11" s="302"/>
      <c r="CE11" s="302"/>
      <c r="CF11" s="302"/>
      <c r="CG11" s="302"/>
      <c r="CH11" s="302"/>
      <c r="CI11" s="302"/>
      <c r="CJ11" s="302"/>
      <c r="CK11" s="302"/>
      <c r="CL11" s="302"/>
      <c r="CM11" s="302"/>
      <c r="CN11" s="302"/>
      <c r="CO11" s="298"/>
      <c r="CP11" s="297"/>
      <c r="CQ11" s="302"/>
      <c r="CR11" s="302"/>
      <c r="CS11" s="305"/>
    </row>
    <row r="12" spans="1:97" s="147" customFormat="1" ht="13.5" customHeight="1" thickBot="1">
      <c r="A12" s="289"/>
      <c r="B12" s="290"/>
      <c r="C12" s="291"/>
      <c r="D12" s="294"/>
      <c r="E12" s="290"/>
      <c r="F12" s="290"/>
      <c r="G12" s="290"/>
      <c r="H12" s="290"/>
      <c r="I12" s="290"/>
      <c r="J12" s="290"/>
      <c r="K12" s="290"/>
      <c r="L12" s="291"/>
      <c r="M12" s="299"/>
      <c r="N12" s="300"/>
      <c r="O12" s="299"/>
      <c r="P12" s="303"/>
      <c r="Q12" s="300"/>
      <c r="R12" s="299"/>
      <c r="S12" s="303"/>
      <c r="T12" s="300"/>
      <c r="U12" s="299"/>
      <c r="V12" s="303"/>
      <c r="W12" s="300"/>
      <c r="X12" s="299"/>
      <c r="Y12" s="303"/>
      <c r="Z12" s="303"/>
      <c r="AA12" s="303"/>
      <c r="AB12" s="300"/>
      <c r="AC12" s="299"/>
      <c r="AD12" s="303"/>
      <c r="AE12" s="303"/>
      <c r="AF12" s="303"/>
      <c r="AG12" s="300"/>
      <c r="AH12" s="299"/>
      <c r="AI12" s="300"/>
      <c r="AJ12" s="299"/>
      <c r="AK12" s="300"/>
      <c r="AL12" s="299"/>
      <c r="AM12" s="300"/>
      <c r="AN12" s="299"/>
      <c r="AO12" s="300"/>
      <c r="AP12" s="299"/>
      <c r="AQ12" s="300"/>
      <c r="AR12" s="299"/>
      <c r="AS12" s="300"/>
      <c r="AT12" s="299"/>
      <c r="AU12" s="300"/>
      <c r="AV12" s="299"/>
      <c r="AW12" s="300"/>
      <c r="AX12" s="299"/>
      <c r="AY12" s="300"/>
      <c r="AZ12" s="299"/>
      <c r="BA12" s="300"/>
      <c r="BB12" s="299"/>
      <c r="BC12" s="300"/>
      <c r="BD12" s="299"/>
      <c r="BE12" s="300"/>
      <c r="BF12" s="299"/>
      <c r="BG12" s="300"/>
      <c r="BH12" s="299"/>
      <c r="BI12" s="300"/>
      <c r="BJ12" s="299"/>
      <c r="BK12" s="300"/>
      <c r="BL12" s="299"/>
      <c r="BM12" s="300"/>
      <c r="BN12" s="299"/>
      <c r="BO12" s="303"/>
      <c r="BP12" s="303"/>
      <c r="BQ12" s="300"/>
      <c r="BR12" s="299"/>
      <c r="BS12" s="303"/>
      <c r="BT12" s="300"/>
      <c r="BU12" s="299"/>
      <c r="BV12" s="303"/>
      <c r="BW12" s="303"/>
      <c r="BX12" s="303"/>
      <c r="BY12" s="303"/>
      <c r="BZ12" s="303"/>
      <c r="CA12" s="303"/>
      <c r="CB12" s="303"/>
      <c r="CC12" s="303"/>
      <c r="CD12" s="303"/>
      <c r="CE12" s="303"/>
      <c r="CF12" s="303"/>
      <c r="CG12" s="303"/>
      <c r="CH12" s="303"/>
      <c r="CI12" s="303"/>
      <c r="CJ12" s="303"/>
      <c r="CK12" s="303"/>
      <c r="CL12" s="303"/>
      <c r="CM12" s="303"/>
      <c r="CN12" s="303"/>
      <c r="CO12" s="300"/>
      <c r="CP12" s="299"/>
      <c r="CQ12" s="303"/>
      <c r="CR12" s="303"/>
      <c r="CS12" s="306"/>
    </row>
    <row r="13" spans="1:97" s="147" customFormat="1" ht="13.5" customHeight="1" thickTop="1">
      <c r="A13" s="283"/>
      <c r="B13" s="284"/>
      <c r="C13" s="285"/>
      <c r="D13" s="292"/>
      <c r="E13" s="284"/>
      <c r="F13" s="284"/>
      <c r="G13" s="284"/>
      <c r="H13" s="284"/>
      <c r="I13" s="284"/>
      <c r="J13" s="284"/>
      <c r="K13" s="284"/>
      <c r="L13" s="285"/>
      <c r="M13" s="295"/>
      <c r="N13" s="296"/>
      <c r="O13" s="295"/>
      <c r="P13" s="301"/>
      <c r="Q13" s="296"/>
      <c r="R13" s="295"/>
      <c r="S13" s="301"/>
      <c r="T13" s="296"/>
      <c r="U13" s="295"/>
      <c r="V13" s="301"/>
      <c r="W13" s="296"/>
      <c r="X13" s="295"/>
      <c r="Y13" s="301"/>
      <c r="Z13" s="301"/>
      <c r="AA13" s="301"/>
      <c r="AB13" s="296"/>
      <c r="AC13" s="295"/>
      <c r="AD13" s="301"/>
      <c r="AE13" s="301"/>
      <c r="AF13" s="301"/>
      <c r="AG13" s="296"/>
      <c r="AH13" s="295"/>
      <c r="AI13" s="296"/>
      <c r="AJ13" s="295"/>
      <c r="AK13" s="296"/>
      <c r="AL13" s="295"/>
      <c r="AM13" s="296"/>
      <c r="AN13" s="295"/>
      <c r="AO13" s="296"/>
      <c r="AP13" s="295"/>
      <c r="AQ13" s="296"/>
      <c r="AR13" s="295"/>
      <c r="AS13" s="296"/>
      <c r="AT13" s="295"/>
      <c r="AU13" s="296"/>
      <c r="AV13" s="295"/>
      <c r="AW13" s="296"/>
      <c r="AX13" s="295"/>
      <c r="AY13" s="296"/>
      <c r="AZ13" s="295"/>
      <c r="BA13" s="296"/>
      <c r="BB13" s="295"/>
      <c r="BC13" s="296"/>
      <c r="BD13" s="295"/>
      <c r="BE13" s="296"/>
      <c r="BF13" s="295"/>
      <c r="BG13" s="296"/>
      <c r="BH13" s="295"/>
      <c r="BI13" s="296"/>
      <c r="BJ13" s="295"/>
      <c r="BK13" s="296"/>
      <c r="BL13" s="295"/>
      <c r="BM13" s="296"/>
      <c r="BN13" s="295"/>
      <c r="BO13" s="301"/>
      <c r="BP13" s="301"/>
      <c r="BQ13" s="296"/>
      <c r="BR13" s="295"/>
      <c r="BS13" s="301"/>
      <c r="BT13" s="296"/>
      <c r="BU13" s="295"/>
      <c r="BV13" s="301"/>
      <c r="BW13" s="301"/>
      <c r="BX13" s="301"/>
      <c r="BY13" s="301"/>
      <c r="BZ13" s="301"/>
      <c r="CA13" s="301"/>
      <c r="CB13" s="301"/>
      <c r="CC13" s="301"/>
      <c r="CD13" s="301"/>
      <c r="CE13" s="301"/>
      <c r="CF13" s="301"/>
      <c r="CG13" s="301"/>
      <c r="CH13" s="301"/>
      <c r="CI13" s="301"/>
      <c r="CJ13" s="301"/>
      <c r="CK13" s="301"/>
      <c r="CL13" s="301"/>
      <c r="CM13" s="301"/>
      <c r="CN13" s="301"/>
      <c r="CO13" s="296"/>
      <c r="CP13" s="295"/>
      <c r="CQ13" s="301"/>
      <c r="CR13" s="301"/>
      <c r="CS13" s="304"/>
    </row>
    <row r="14" spans="1:97" s="147" customFormat="1" ht="13.5" customHeight="1">
      <c r="A14" s="286"/>
      <c r="B14" s="287"/>
      <c r="C14" s="288"/>
      <c r="D14" s="293"/>
      <c r="E14" s="287"/>
      <c r="F14" s="287"/>
      <c r="G14" s="287"/>
      <c r="H14" s="287"/>
      <c r="I14" s="287"/>
      <c r="J14" s="287"/>
      <c r="K14" s="287"/>
      <c r="L14" s="288"/>
      <c r="M14" s="297"/>
      <c r="N14" s="298"/>
      <c r="O14" s="297"/>
      <c r="P14" s="302"/>
      <c r="Q14" s="298"/>
      <c r="R14" s="297"/>
      <c r="S14" s="302"/>
      <c r="T14" s="298"/>
      <c r="U14" s="297"/>
      <c r="V14" s="302"/>
      <c r="W14" s="298"/>
      <c r="X14" s="297"/>
      <c r="Y14" s="302"/>
      <c r="Z14" s="302"/>
      <c r="AA14" s="302"/>
      <c r="AB14" s="298"/>
      <c r="AC14" s="297"/>
      <c r="AD14" s="302"/>
      <c r="AE14" s="302"/>
      <c r="AF14" s="302"/>
      <c r="AG14" s="298"/>
      <c r="AH14" s="297"/>
      <c r="AI14" s="298"/>
      <c r="AJ14" s="297"/>
      <c r="AK14" s="298"/>
      <c r="AL14" s="297"/>
      <c r="AM14" s="298"/>
      <c r="AN14" s="297"/>
      <c r="AO14" s="298"/>
      <c r="AP14" s="297"/>
      <c r="AQ14" s="298"/>
      <c r="AR14" s="297"/>
      <c r="AS14" s="298"/>
      <c r="AT14" s="297"/>
      <c r="AU14" s="298"/>
      <c r="AV14" s="297"/>
      <c r="AW14" s="298"/>
      <c r="AX14" s="297"/>
      <c r="AY14" s="298"/>
      <c r="AZ14" s="297"/>
      <c r="BA14" s="298"/>
      <c r="BB14" s="297"/>
      <c r="BC14" s="298"/>
      <c r="BD14" s="297"/>
      <c r="BE14" s="298"/>
      <c r="BF14" s="297"/>
      <c r="BG14" s="298"/>
      <c r="BH14" s="297"/>
      <c r="BI14" s="298"/>
      <c r="BJ14" s="297"/>
      <c r="BK14" s="298"/>
      <c r="BL14" s="297"/>
      <c r="BM14" s="298"/>
      <c r="BN14" s="297"/>
      <c r="BO14" s="302"/>
      <c r="BP14" s="302"/>
      <c r="BQ14" s="298"/>
      <c r="BR14" s="297"/>
      <c r="BS14" s="302"/>
      <c r="BT14" s="298"/>
      <c r="BU14" s="297"/>
      <c r="BV14" s="302"/>
      <c r="BW14" s="302"/>
      <c r="BX14" s="302"/>
      <c r="BY14" s="302"/>
      <c r="BZ14" s="302"/>
      <c r="CA14" s="302"/>
      <c r="CB14" s="302"/>
      <c r="CC14" s="302"/>
      <c r="CD14" s="302"/>
      <c r="CE14" s="302"/>
      <c r="CF14" s="302"/>
      <c r="CG14" s="302"/>
      <c r="CH14" s="302"/>
      <c r="CI14" s="302"/>
      <c r="CJ14" s="302"/>
      <c r="CK14" s="302"/>
      <c r="CL14" s="302"/>
      <c r="CM14" s="302"/>
      <c r="CN14" s="302"/>
      <c r="CO14" s="298"/>
      <c r="CP14" s="297"/>
      <c r="CQ14" s="302"/>
      <c r="CR14" s="302"/>
      <c r="CS14" s="305"/>
    </row>
    <row r="15" spans="1:97" s="147" customFormat="1" ht="13.5" customHeight="1">
      <c r="A15" s="286"/>
      <c r="B15" s="287"/>
      <c r="C15" s="288"/>
      <c r="D15" s="293"/>
      <c r="E15" s="287"/>
      <c r="F15" s="287"/>
      <c r="G15" s="287"/>
      <c r="H15" s="287"/>
      <c r="I15" s="287"/>
      <c r="J15" s="287"/>
      <c r="K15" s="287"/>
      <c r="L15" s="288"/>
      <c r="M15" s="297"/>
      <c r="N15" s="298"/>
      <c r="O15" s="297"/>
      <c r="P15" s="302"/>
      <c r="Q15" s="298"/>
      <c r="R15" s="297"/>
      <c r="S15" s="302"/>
      <c r="T15" s="298"/>
      <c r="U15" s="297"/>
      <c r="V15" s="302"/>
      <c r="W15" s="298"/>
      <c r="X15" s="297"/>
      <c r="Y15" s="302"/>
      <c r="Z15" s="302"/>
      <c r="AA15" s="302"/>
      <c r="AB15" s="298"/>
      <c r="AC15" s="297"/>
      <c r="AD15" s="302"/>
      <c r="AE15" s="302"/>
      <c r="AF15" s="302"/>
      <c r="AG15" s="298"/>
      <c r="AH15" s="297"/>
      <c r="AI15" s="298"/>
      <c r="AJ15" s="297"/>
      <c r="AK15" s="298"/>
      <c r="AL15" s="297"/>
      <c r="AM15" s="298"/>
      <c r="AN15" s="297"/>
      <c r="AO15" s="298"/>
      <c r="AP15" s="297"/>
      <c r="AQ15" s="298"/>
      <c r="AR15" s="297"/>
      <c r="AS15" s="298"/>
      <c r="AT15" s="297"/>
      <c r="AU15" s="298"/>
      <c r="AV15" s="297"/>
      <c r="AW15" s="298"/>
      <c r="AX15" s="297"/>
      <c r="AY15" s="298"/>
      <c r="AZ15" s="297"/>
      <c r="BA15" s="298"/>
      <c r="BB15" s="297"/>
      <c r="BC15" s="298"/>
      <c r="BD15" s="297"/>
      <c r="BE15" s="298"/>
      <c r="BF15" s="297"/>
      <c r="BG15" s="298"/>
      <c r="BH15" s="297"/>
      <c r="BI15" s="298"/>
      <c r="BJ15" s="297"/>
      <c r="BK15" s="298"/>
      <c r="BL15" s="297"/>
      <c r="BM15" s="298"/>
      <c r="BN15" s="297"/>
      <c r="BO15" s="302"/>
      <c r="BP15" s="302"/>
      <c r="BQ15" s="298"/>
      <c r="BR15" s="297"/>
      <c r="BS15" s="302"/>
      <c r="BT15" s="298"/>
      <c r="BU15" s="297"/>
      <c r="BV15" s="302"/>
      <c r="BW15" s="302"/>
      <c r="BX15" s="302"/>
      <c r="BY15" s="302"/>
      <c r="BZ15" s="302"/>
      <c r="CA15" s="302"/>
      <c r="CB15" s="302"/>
      <c r="CC15" s="302"/>
      <c r="CD15" s="302"/>
      <c r="CE15" s="302"/>
      <c r="CF15" s="302"/>
      <c r="CG15" s="302"/>
      <c r="CH15" s="302"/>
      <c r="CI15" s="302"/>
      <c r="CJ15" s="302"/>
      <c r="CK15" s="302"/>
      <c r="CL15" s="302"/>
      <c r="CM15" s="302"/>
      <c r="CN15" s="302"/>
      <c r="CO15" s="298"/>
      <c r="CP15" s="297"/>
      <c r="CQ15" s="302"/>
      <c r="CR15" s="302"/>
      <c r="CS15" s="305"/>
    </row>
    <row r="16" spans="1:97" s="147" customFormat="1" ht="13.5" customHeight="1" thickBot="1">
      <c r="A16" s="289"/>
      <c r="B16" s="290"/>
      <c r="C16" s="291"/>
      <c r="D16" s="294"/>
      <c r="E16" s="290"/>
      <c r="F16" s="290"/>
      <c r="G16" s="290"/>
      <c r="H16" s="290"/>
      <c r="I16" s="290"/>
      <c r="J16" s="290"/>
      <c r="K16" s="290"/>
      <c r="L16" s="291"/>
      <c r="M16" s="299"/>
      <c r="N16" s="300"/>
      <c r="O16" s="299"/>
      <c r="P16" s="303"/>
      <c r="Q16" s="300"/>
      <c r="R16" s="299"/>
      <c r="S16" s="303"/>
      <c r="T16" s="300"/>
      <c r="U16" s="299"/>
      <c r="V16" s="303"/>
      <c r="W16" s="300"/>
      <c r="X16" s="299"/>
      <c r="Y16" s="303"/>
      <c r="Z16" s="303"/>
      <c r="AA16" s="303"/>
      <c r="AB16" s="300"/>
      <c r="AC16" s="299"/>
      <c r="AD16" s="303"/>
      <c r="AE16" s="303"/>
      <c r="AF16" s="303"/>
      <c r="AG16" s="300"/>
      <c r="AH16" s="299"/>
      <c r="AI16" s="300"/>
      <c r="AJ16" s="299"/>
      <c r="AK16" s="300"/>
      <c r="AL16" s="299"/>
      <c r="AM16" s="300"/>
      <c r="AN16" s="299"/>
      <c r="AO16" s="300"/>
      <c r="AP16" s="299"/>
      <c r="AQ16" s="300"/>
      <c r="AR16" s="299"/>
      <c r="AS16" s="300"/>
      <c r="AT16" s="299"/>
      <c r="AU16" s="300"/>
      <c r="AV16" s="299"/>
      <c r="AW16" s="300"/>
      <c r="AX16" s="299"/>
      <c r="AY16" s="300"/>
      <c r="AZ16" s="299"/>
      <c r="BA16" s="300"/>
      <c r="BB16" s="299"/>
      <c r="BC16" s="300"/>
      <c r="BD16" s="299"/>
      <c r="BE16" s="300"/>
      <c r="BF16" s="299"/>
      <c r="BG16" s="300"/>
      <c r="BH16" s="299"/>
      <c r="BI16" s="300"/>
      <c r="BJ16" s="299"/>
      <c r="BK16" s="300"/>
      <c r="BL16" s="299"/>
      <c r="BM16" s="300"/>
      <c r="BN16" s="299"/>
      <c r="BO16" s="303"/>
      <c r="BP16" s="303"/>
      <c r="BQ16" s="300"/>
      <c r="BR16" s="299"/>
      <c r="BS16" s="303"/>
      <c r="BT16" s="300"/>
      <c r="BU16" s="299"/>
      <c r="BV16" s="303"/>
      <c r="BW16" s="303"/>
      <c r="BX16" s="303"/>
      <c r="BY16" s="303"/>
      <c r="BZ16" s="303"/>
      <c r="CA16" s="303"/>
      <c r="CB16" s="303"/>
      <c r="CC16" s="303"/>
      <c r="CD16" s="303"/>
      <c r="CE16" s="303"/>
      <c r="CF16" s="303"/>
      <c r="CG16" s="303"/>
      <c r="CH16" s="303"/>
      <c r="CI16" s="303"/>
      <c r="CJ16" s="303"/>
      <c r="CK16" s="303"/>
      <c r="CL16" s="303"/>
      <c r="CM16" s="303"/>
      <c r="CN16" s="303"/>
      <c r="CO16" s="300"/>
      <c r="CP16" s="299"/>
      <c r="CQ16" s="303"/>
      <c r="CR16" s="303"/>
      <c r="CS16" s="306"/>
    </row>
    <row r="17" spans="1:97" s="147" customFormat="1" ht="13.5" customHeight="1" thickTop="1">
      <c r="A17" s="283"/>
      <c r="B17" s="284"/>
      <c r="C17" s="285"/>
      <c r="D17" s="292"/>
      <c r="E17" s="284"/>
      <c r="F17" s="284"/>
      <c r="G17" s="284"/>
      <c r="H17" s="284"/>
      <c r="I17" s="284"/>
      <c r="J17" s="284"/>
      <c r="K17" s="284"/>
      <c r="L17" s="285"/>
      <c r="M17" s="295"/>
      <c r="N17" s="296"/>
      <c r="O17" s="295"/>
      <c r="P17" s="301"/>
      <c r="Q17" s="296"/>
      <c r="R17" s="295"/>
      <c r="S17" s="301"/>
      <c r="T17" s="296"/>
      <c r="U17" s="295"/>
      <c r="V17" s="301"/>
      <c r="W17" s="296"/>
      <c r="X17" s="295"/>
      <c r="Y17" s="301"/>
      <c r="Z17" s="301"/>
      <c r="AA17" s="301"/>
      <c r="AB17" s="296"/>
      <c r="AC17" s="295"/>
      <c r="AD17" s="301"/>
      <c r="AE17" s="301"/>
      <c r="AF17" s="301"/>
      <c r="AG17" s="296"/>
      <c r="AH17" s="295"/>
      <c r="AI17" s="296"/>
      <c r="AJ17" s="295"/>
      <c r="AK17" s="296"/>
      <c r="AL17" s="295"/>
      <c r="AM17" s="296"/>
      <c r="AN17" s="295"/>
      <c r="AO17" s="296"/>
      <c r="AP17" s="295"/>
      <c r="AQ17" s="296"/>
      <c r="AR17" s="295"/>
      <c r="AS17" s="296"/>
      <c r="AT17" s="295"/>
      <c r="AU17" s="296"/>
      <c r="AV17" s="295"/>
      <c r="AW17" s="296"/>
      <c r="AX17" s="295"/>
      <c r="AY17" s="296"/>
      <c r="AZ17" s="295"/>
      <c r="BA17" s="296"/>
      <c r="BB17" s="295"/>
      <c r="BC17" s="296"/>
      <c r="BD17" s="295"/>
      <c r="BE17" s="296"/>
      <c r="BF17" s="295"/>
      <c r="BG17" s="296"/>
      <c r="BH17" s="295"/>
      <c r="BI17" s="296"/>
      <c r="BJ17" s="295"/>
      <c r="BK17" s="296"/>
      <c r="BL17" s="295"/>
      <c r="BM17" s="296"/>
      <c r="BN17" s="295"/>
      <c r="BO17" s="301"/>
      <c r="BP17" s="301"/>
      <c r="BQ17" s="296"/>
      <c r="BR17" s="295"/>
      <c r="BS17" s="301"/>
      <c r="BT17" s="296"/>
      <c r="BU17" s="295"/>
      <c r="BV17" s="301"/>
      <c r="BW17" s="301"/>
      <c r="BX17" s="301"/>
      <c r="BY17" s="301"/>
      <c r="BZ17" s="301"/>
      <c r="CA17" s="301"/>
      <c r="CB17" s="301"/>
      <c r="CC17" s="301"/>
      <c r="CD17" s="301"/>
      <c r="CE17" s="301"/>
      <c r="CF17" s="301"/>
      <c r="CG17" s="301"/>
      <c r="CH17" s="301"/>
      <c r="CI17" s="301"/>
      <c r="CJ17" s="301"/>
      <c r="CK17" s="301"/>
      <c r="CL17" s="301"/>
      <c r="CM17" s="301"/>
      <c r="CN17" s="301"/>
      <c r="CO17" s="296"/>
      <c r="CP17" s="295"/>
      <c r="CQ17" s="301"/>
      <c r="CR17" s="301"/>
      <c r="CS17" s="304"/>
    </row>
    <row r="18" spans="1:97" s="147" customFormat="1" ht="13.5" customHeight="1">
      <c r="A18" s="286"/>
      <c r="B18" s="287"/>
      <c r="C18" s="288"/>
      <c r="D18" s="293"/>
      <c r="E18" s="287"/>
      <c r="F18" s="287"/>
      <c r="G18" s="287"/>
      <c r="H18" s="287"/>
      <c r="I18" s="287"/>
      <c r="J18" s="287"/>
      <c r="K18" s="287"/>
      <c r="L18" s="288"/>
      <c r="M18" s="297"/>
      <c r="N18" s="298"/>
      <c r="O18" s="297"/>
      <c r="P18" s="302"/>
      <c r="Q18" s="298"/>
      <c r="R18" s="297"/>
      <c r="S18" s="302"/>
      <c r="T18" s="298"/>
      <c r="U18" s="297"/>
      <c r="V18" s="302"/>
      <c r="W18" s="298"/>
      <c r="X18" s="297"/>
      <c r="Y18" s="302"/>
      <c r="Z18" s="302"/>
      <c r="AA18" s="302"/>
      <c r="AB18" s="298"/>
      <c r="AC18" s="297"/>
      <c r="AD18" s="302"/>
      <c r="AE18" s="302"/>
      <c r="AF18" s="302"/>
      <c r="AG18" s="298"/>
      <c r="AH18" s="297"/>
      <c r="AI18" s="298"/>
      <c r="AJ18" s="297"/>
      <c r="AK18" s="298"/>
      <c r="AL18" s="297"/>
      <c r="AM18" s="298"/>
      <c r="AN18" s="297"/>
      <c r="AO18" s="298"/>
      <c r="AP18" s="297"/>
      <c r="AQ18" s="298"/>
      <c r="AR18" s="297"/>
      <c r="AS18" s="298"/>
      <c r="AT18" s="297"/>
      <c r="AU18" s="298"/>
      <c r="AV18" s="297"/>
      <c r="AW18" s="298"/>
      <c r="AX18" s="297"/>
      <c r="AY18" s="298"/>
      <c r="AZ18" s="297"/>
      <c r="BA18" s="298"/>
      <c r="BB18" s="297"/>
      <c r="BC18" s="298"/>
      <c r="BD18" s="297"/>
      <c r="BE18" s="298"/>
      <c r="BF18" s="297"/>
      <c r="BG18" s="298"/>
      <c r="BH18" s="297"/>
      <c r="BI18" s="298"/>
      <c r="BJ18" s="297"/>
      <c r="BK18" s="298"/>
      <c r="BL18" s="297"/>
      <c r="BM18" s="298"/>
      <c r="BN18" s="297"/>
      <c r="BO18" s="302"/>
      <c r="BP18" s="302"/>
      <c r="BQ18" s="298"/>
      <c r="BR18" s="297"/>
      <c r="BS18" s="302"/>
      <c r="BT18" s="298"/>
      <c r="BU18" s="297"/>
      <c r="BV18" s="302"/>
      <c r="BW18" s="302"/>
      <c r="BX18" s="302"/>
      <c r="BY18" s="302"/>
      <c r="BZ18" s="302"/>
      <c r="CA18" s="302"/>
      <c r="CB18" s="302"/>
      <c r="CC18" s="302"/>
      <c r="CD18" s="302"/>
      <c r="CE18" s="302"/>
      <c r="CF18" s="302"/>
      <c r="CG18" s="302"/>
      <c r="CH18" s="302"/>
      <c r="CI18" s="302"/>
      <c r="CJ18" s="302"/>
      <c r="CK18" s="302"/>
      <c r="CL18" s="302"/>
      <c r="CM18" s="302"/>
      <c r="CN18" s="302"/>
      <c r="CO18" s="298"/>
      <c r="CP18" s="297"/>
      <c r="CQ18" s="302"/>
      <c r="CR18" s="302"/>
      <c r="CS18" s="305"/>
    </row>
    <row r="19" spans="1:97" s="147" customFormat="1" ht="13.5" customHeight="1">
      <c r="A19" s="286"/>
      <c r="B19" s="287"/>
      <c r="C19" s="288"/>
      <c r="D19" s="293"/>
      <c r="E19" s="287"/>
      <c r="F19" s="287"/>
      <c r="G19" s="287"/>
      <c r="H19" s="287"/>
      <c r="I19" s="287"/>
      <c r="J19" s="287"/>
      <c r="K19" s="287"/>
      <c r="L19" s="288"/>
      <c r="M19" s="297"/>
      <c r="N19" s="298"/>
      <c r="O19" s="297"/>
      <c r="P19" s="302"/>
      <c r="Q19" s="298"/>
      <c r="R19" s="297"/>
      <c r="S19" s="302"/>
      <c r="T19" s="298"/>
      <c r="U19" s="297"/>
      <c r="V19" s="302"/>
      <c r="W19" s="298"/>
      <c r="X19" s="297"/>
      <c r="Y19" s="302"/>
      <c r="Z19" s="302"/>
      <c r="AA19" s="302"/>
      <c r="AB19" s="298"/>
      <c r="AC19" s="297"/>
      <c r="AD19" s="302"/>
      <c r="AE19" s="302"/>
      <c r="AF19" s="302"/>
      <c r="AG19" s="298"/>
      <c r="AH19" s="297"/>
      <c r="AI19" s="298"/>
      <c r="AJ19" s="297"/>
      <c r="AK19" s="298"/>
      <c r="AL19" s="297"/>
      <c r="AM19" s="298"/>
      <c r="AN19" s="297"/>
      <c r="AO19" s="298"/>
      <c r="AP19" s="297"/>
      <c r="AQ19" s="298"/>
      <c r="AR19" s="297"/>
      <c r="AS19" s="298"/>
      <c r="AT19" s="297"/>
      <c r="AU19" s="298"/>
      <c r="AV19" s="297"/>
      <c r="AW19" s="298"/>
      <c r="AX19" s="297"/>
      <c r="AY19" s="298"/>
      <c r="AZ19" s="297"/>
      <c r="BA19" s="298"/>
      <c r="BB19" s="297"/>
      <c r="BC19" s="298"/>
      <c r="BD19" s="297"/>
      <c r="BE19" s="298"/>
      <c r="BF19" s="297"/>
      <c r="BG19" s="298"/>
      <c r="BH19" s="297"/>
      <c r="BI19" s="298"/>
      <c r="BJ19" s="297"/>
      <c r="BK19" s="298"/>
      <c r="BL19" s="297"/>
      <c r="BM19" s="298"/>
      <c r="BN19" s="297"/>
      <c r="BO19" s="302"/>
      <c r="BP19" s="302"/>
      <c r="BQ19" s="298"/>
      <c r="BR19" s="297"/>
      <c r="BS19" s="302"/>
      <c r="BT19" s="298"/>
      <c r="BU19" s="297"/>
      <c r="BV19" s="302"/>
      <c r="BW19" s="302"/>
      <c r="BX19" s="302"/>
      <c r="BY19" s="302"/>
      <c r="BZ19" s="302"/>
      <c r="CA19" s="302"/>
      <c r="CB19" s="302"/>
      <c r="CC19" s="302"/>
      <c r="CD19" s="302"/>
      <c r="CE19" s="302"/>
      <c r="CF19" s="302"/>
      <c r="CG19" s="302"/>
      <c r="CH19" s="302"/>
      <c r="CI19" s="302"/>
      <c r="CJ19" s="302"/>
      <c r="CK19" s="302"/>
      <c r="CL19" s="302"/>
      <c r="CM19" s="302"/>
      <c r="CN19" s="302"/>
      <c r="CO19" s="298"/>
      <c r="CP19" s="297"/>
      <c r="CQ19" s="302"/>
      <c r="CR19" s="302"/>
      <c r="CS19" s="305"/>
    </row>
    <row r="20" spans="1:97" s="147" customFormat="1" ht="13.5" customHeight="1" thickBot="1">
      <c r="A20" s="289"/>
      <c r="B20" s="290"/>
      <c r="C20" s="291"/>
      <c r="D20" s="294"/>
      <c r="E20" s="290"/>
      <c r="F20" s="290"/>
      <c r="G20" s="290"/>
      <c r="H20" s="290"/>
      <c r="I20" s="290"/>
      <c r="J20" s="290"/>
      <c r="K20" s="290"/>
      <c r="L20" s="291"/>
      <c r="M20" s="299"/>
      <c r="N20" s="300"/>
      <c r="O20" s="299"/>
      <c r="P20" s="303"/>
      <c r="Q20" s="300"/>
      <c r="R20" s="299"/>
      <c r="S20" s="303"/>
      <c r="T20" s="300"/>
      <c r="U20" s="299"/>
      <c r="V20" s="303"/>
      <c r="W20" s="300"/>
      <c r="X20" s="299"/>
      <c r="Y20" s="303"/>
      <c r="Z20" s="303"/>
      <c r="AA20" s="303"/>
      <c r="AB20" s="300"/>
      <c r="AC20" s="299"/>
      <c r="AD20" s="303"/>
      <c r="AE20" s="303"/>
      <c r="AF20" s="303"/>
      <c r="AG20" s="300"/>
      <c r="AH20" s="299"/>
      <c r="AI20" s="300"/>
      <c r="AJ20" s="299"/>
      <c r="AK20" s="300"/>
      <c r="AL20" s="299"/>
      <c r="AM20" s="300"/>
      <c r="AN20" s="299"/>
      <c r="AO20" s="300"/>
      <c r="AP20" s="299"/>
      <c r="AQ20" s="300"/>
      <c r="AR20" s="299"/>
      <c r="AS20" s="300"/>
      <c r="AT20" s="299"/>
      <c r="AU20" s="300"/>
      <c r="AV20" s="299"/>
      <c r="AW20" s="300"/>
      <c r="AX20" s="299"/>
      <c r="AY20" s="300"/>
      <c r="AZ20" s="299"/>
      <c r="BA20" s="300"/>
      <c r="BB20" s="299"/>
      <c r="BC20" s="300"/>
      <c r="BD20" s="299"/>
      <c r="BE20" s="300"/>
      <c r="BF20" s="299"/>
      <c r="BG20" s="300"/>
      <c r="BH20" s="299"/>
      <c r="BI20" s="300"/>
      <c r="BJ20" s="299"/>
      <c r="BK20" s="300"/>
      <c r="BL20" s="299"/>
      <c r="BM20" s="300"/>
      <c r="BN20" s="299"/>
      <c r="BO20" s="303"/>
      <c r="BP20" s="303"/>
      <c r="BQ20" s="300"/>
      <c r="BR20" s="299"/>
      <c r="BS20" s="303"/>
      <c r="BT20" s="300"/>
      <c r="BU20" s="299"/>
      <c r="BV20" s="303"/>
      <c r="BW20" s="303"/>
      <c r="BX20" s="303"/>
      <c r="BY20" s="303"/>
      <c r="BZ20" s="303"/>
      <c r="CA20" s="303"/>
      <c r="CB20" s="303"/>
      <c r="CC20" s="303"/>
      <c r="CD20" s="303"/>
      <c r="CE20" s="303"/>
      <c r="CF20" s="303"/>
      <c r="CG20" s="303"/>
      <c r="CH20" s="303"/>
      <c r="CI20" s="303"/>
      <c r="CJ20" s="303"/>
      <c r="CK20" s="303"/>
      <c r="CL20" s="303"/>
      <c r="CM20" s="303"/>
      <c r="CN20" s="303"/>
      <c r="CO20" s="300"/>
      <c r="CP20" s="299"/>
      <c r="CQ20" s="303"/>
      <c r="CR20" s="303"/>
      <c r="CS20" s="306"/>
    </row>
    <row r="21" spans="1:97" s="147" customFormat="1" ht="13.5" customHeight="1" thickTop="1">
      <c r="A21" s="283"/>
      <c r="B21" s="284"/>
      <c r="C21" s="285"/>
      <c r="D21" s="292"/>
      <c r="E21" s="284"/>
      <c r="F21" s="284"/>
      <c r="G21" s="284"/>
      <c r="H21" s="284"/>
      <c r="I21" s="284"/>
      <c r="J21" s="284"/>
      <c r="K21" s="284"/>
      <c r="L21" s="285"/>
      <c r="M21" s="295"/>
      <c r="N21" s="296"/>
      <c r="O21" s="295"/>
      <c r="P21" s="301"/>
      <c r="Q21" s="296"/>
      <c r="R21" s="295"/>
      <c r="S21" s="301"/>
      <c r="T21" s="296"/>
      <c r="U21" s="295"/>
      <c r="V21" s="301"/>
      <c r="W21" s="296"/>
      <c r="X21" s="295"/>
      <c r="Y21" s="301"/>
      <c r="Z21" s="301"/>
      <c r="AA21" s="301"/>
      <c r="AB21" s="296"/>
      <c r="AC21" s="295"/>
      <c r="AD21" s="301"/>
      <c r="AE21" s="301"/>
      <c r="AF21" s="301"/>
      <c r="AG21" s="296"/>
      <c r="AH21" s="295"/>
      <c r="AI21" s="296"/>
      <c r="AJ21" s="295"/>
      <c r="AK21" s="296"/>
      <c r="AL21" s="295"/>
      <c r="AM21" s="296"/>
      <c r="AN21" s="295"/>
      <c r="AO21" s="296"/>
      <c r="AP21" s="295"/>
      <c r="AQ21" s="296"/>
      <c r="AR21" s="295"/>
      <c r="AS21" s="296"/>
      <c r="AT21" s="295"/>
      <c r="AU21" s="296"/>
      <c r="AV21" s="295"/>
      <c r="AW21" s="296"/>
      <c r="AX21" s="295"/>
      <c r="AY21" s="296"/>
      <c r="AZ21" s="295"/>
      <c r="BA21" s="296"/>
      <c r="BB21" s="295"/>
      <c r="BC21" s="296"/>
      <c r="BD21" s="295"/>
      <c r="BE21" s="296"/>
      <c r="BF21" s="295"/>
      <c r="BG21" s="296"/>
      <c r="BH21" s="295"/>
      <c r="BI21" s="296"/>
      <c r="BJ21" s="295"/>
      <c r="BK21" s="296"/>
      <c r="BL21" s="295"/>
      <c r="BM21" s="296"/>
      <c r="BN21" s="295"/>
      <c r="BO21" s="301"/>
      <c r="BP21" s="301"/>
      <c r="BQ21" s="296"/>
      <c r="BR21" s="295"/>
      <c r="BS21" s="301"/>
      <c r="BT21" s="296"/>
      <c r="BU21" s="295"/>
      <c r="BV21" s="301"/>
      <c r="BW21" s="301"/>
      <c r="BX21" s="301"/>
      <c r="BY21" s="301"/>
      <c r="BZ21" s="301"/>
      <c r="CA21" s="301"/>
      <c r="CB21" s="301"/>
      <c r="CC21" s="301"/>
      <c r="CD21" s="301"/>
      <c r="CE21" s="301"/>
      <c r="CF21" s="301"/>
      <c r="CG21" s="301"/>
      <c r="CH21" s="301"/>
      <c r="CI21" s="301"/>
      <c r="CJ21" s="301"/>
      <c r="CK21" s="301"/>
      <c r="CL21" s="301"/>
      <c r="CM21" s="301"/>
      <c r="CN21" s="301"/>
      <c r="CO21" s="296"/>
      <c r="CP21" s="295"/>
      <c r="CQ21" s="301"/>
      <c r="CR21" s="301"/>
      <c r="CS21" s="304"/>
    </row>
    <row r="22" spans="1:97" s="147" customFormat="1" ht="13.5" customHeight="1">
      <c r="A22" s="286"/>
      <c r="B22" s="287"/>
      <c r="C22" s="288"/>
      <c r="D22" s="293"/>
      <c r="E22" s="287"/>
      <c r="F22" s="287"/>
      <c r="G22" s="287"/>
      <c r="H22" s="287"/>
      <c r="I22" s="287"/>
      <c r="J22" s="287"/>
      <c r="K22" s="287"/>
      <c r="L22" s="288"/>
      <c r="M22" s="297"/>
      <c r="N22" s="298"/>
      <c r="O22" s="297"/>
      <c r="P22" s="302"/>
      <c r="Q22" s="298"/>
      <c r="R22" s="297"/>
      <c r="S22" s="302"/>
      <c r="T22" s="298"/>
      <c r="U22" s="297"/>
      <c r="V22" s="302"/>
      <c r="W22" s="298"/>
      <c r="X22" s="297"/>
      <c r="Y22" s="302"/>
      <c r="Z22" s="302"/>
      <c r="AA22" s="302"/>
      <c r="AB22" s="298"/>
      <c r="AC22" s="297"/>
      <c r="AD22" s="302"/>
      <c r="AE22" s="302"/>
      <c r="AF22" s="302"/>
      <c r="AG22" s="298"/>
      <c r="AH22" s="297"/>
      <c r="AI22" s="298"/>
      <c r="AJ22" s="297"/>
      <c r="AK22" s="298"/>
      <c r="AL22" s="297"/>
      <c r="AM22" s="298"/>
      <c r="AN22" s="297"/>
      <c r="AO22" s="298"/>
      <c r="AP22" s="297"/>
      <c r="AQ22" s="298"/>
      <c r="AR22" s="297"/>
      <c r="AS22" s="298"/>
      <c r="AT22" s="297"/>
      <c r="AU22" s="298"/>
      <c r="AV22" s="297"/>
      <c r="AW22" s="298"/>
      <c r="AX22" s="297"/>
      <c r="AY22" s="298"/>
      <c r="AZ22" s="297"/>
      <c r="BA22" s="298"/>
      <c r="BB22" s="297"/>
      <c r="BC22" s="298"/>
      <c r="BD22" s="297"/>
      <c r="BE22" s="298"/>
      <c r="BF22" s="297"/>
      <c r="BG22" s="298"/>
      <c r="BH22" s="297"/>
      <c r="BI22" s="298"/>
      <c r="BJ22" s="297"/>
      <c r="BK22" s="298"/>
      <c r="BL22" s="297"/>
      <c r="BM22" s="298"/>
      <c r="BN22" s="297"/>
      <c r="BO22" s="302"/>
      <c r="BP22" s="302"/>
      <c r="BQ22" s="298"/>
      <c r="BR22" s="297"/>
      <c r="BS22" s="302"/>
      <c r="BT22" s="298"/>
      <c r="BU22" s="297"/>
      <c r="BV22" s="302"/>
      <c r="BW22" s="302"/>
      <c r="BX22" s="302"/>
      <c r="BY22" s="302"/>
      <c r="BZ22" s="302"/>
      <c r="CA22" s="302"/>
      <c r="CB22" s="302"/>
      <c r="CC22" s="302"/>
      <c r="CD22" s="302"/>
      <c r="CE22" s="302"/>
      <c r="CF22" s="302"/>
      <c r="CG22" s="302"/>
      <c r="CH22" s="302"/>
      <c r="CI22" s="302"/>
      <c r="CJ22" s="302"/>
      <c r="CK22" s="302"/>
      <c r="CL22" s="302"/>
      <c r="CM22" s="302"/>
      <c r="CN22" s="302"/>
      <c r="CO22" s="298"/>
      <c r="CP22" s="297"/>
      <c r="CQ22" s="302"/>
      <c r="CR22" s="302"/>
      <c r="CS22" s="305"/>
    </row>
    <row r="23" spans="1:97" s="147" customFormat="1" ht="13.5" customHeight="1">
      <c r="A23" s="286"/>
      <c r="B23" s="287"/>
      <c r="C23" s="288"/>
      <c r="D23" s="293"/>
      <c r="E23" s="287"/>
      <c r="F23" s="287"/>
      <c r="G23" s="287"/>
      <c r="H23" s="287"/>
      <c r="I23" s="287"/>
      <c r="J23" s="287"/>
      <c r="K23" s="287"/>
      <c r="L23" s="288"/>
      <c r="M23" s="297"/>
      <c r="N23" s="298"/>
      <c r="O23" s="297"/>
      <c r="P23" s="302"/>
      <c r="Q23" s="298"/>
      <c r="R23" s="297"/>
      <c r="S23" s="302"/>
      <c r="T23" s="298"/>
      <c r="U23" s="297"/>
      <c r="V23" s="302"/>
      <c r="W23" s="298"/>
      <c r="X23" s="297"/>
      <c r="Y23" s="302"/>
      <c r="Z23" s="302"/>
      <c r="AA23" s="302"/>
      <c r="AB23" s="298"/>
      <c r="AC23" s="297"/>
      <c r="AD23" s="302"/>
      <c r="AE23" s="302"/>
      <c r="AF23" s="302"/>
      <c r="AG23" s="298"/>
      <c r="AH23" s="297"/>
      <c r="AI23" s="298"/>
      <c r="AJ23" s="297"/>
      <c r="AK23" s="298"/>
      <c r="AL23" s="297"/>
      <c r="AM23" s="298"/>
      <c r="AN23" s="297"/>
      <c r="AO23" s="298"/>
      <c r="AP23" s="297"/>
      <c r="AQ23" s="298"/>
      <c r="AR23" s="297"/>
      <c r="AS23" s="298"/>
      <c r="AT23" s="297"/>
      <c r="AU23" s="298"/>
      <c r="AV23" s="297"/>
      <c r="AW23" s="298"/>
      <c r="AX23" s="297"/>
      <c r="AY23" s="298"/>
      <c r="AZ23" s="297"/>
      <c r="BA23" s="298"/>
      <c r="BB23" s="297"/>
      <c r="BC23" s="298"/>
      <c r="BD23" s="297"/>
      <c r="BE23" s="298"/>
      <c r="BF23" s="297"/>
      <c r="BG23" s="298"/>
      <c r="BH23" s="297"/>
      <c r="BI23" s="298"/>
      <c r="BJ23" s="297"/>
      <c r="BK23" s="298"/>
      <c r="BL23" s="297"/>
      <c r="BM23" s="298"/>
      <c r="BN23" s="297"/>
      <c r="BO23" s="302"/>
      <c r="BP23" s="302"/>
      <c r="BQ23" s="298"/>
      <c r="BR23" s="297"/>
      <c r="BS23" s="302"/>
      <c r="BT23" s="298"/>
      <c r="BU23" s="297"/>
      <c r="BV23" s="302"/>
      <c r="BW23" s="302"/>
      <c r="BX23" s="302"/>
      <c r="BY23" s="302"/>
      <c r="BZ23" s="302"/>
      <c r="CA23" s="302"/>
      <c r="CB23" s="302"/>
      <c r="CC23" s="302"/>
      <c r="CD23" s="302"/>
      <c r="CE23" s="302"/>
      <c r="CF23" s="302"/>
      <c r="CG23" s="302"/>
      <c r="CH23" s="302"/>
      <c r="CI23" s="302"/>
      <c r="CJ23" s="302"/>
      <c r="CK23" s="302"/>
      <c r="CL23" s="302"/>
      <c r="CM23" s="302"/>
      <c r="CN23" s="302"/>
      <c r="CO23" s="298"/>
      <c r="CP23" s="297"/>
      <c r="CQ23" s="302"/>
      <c r="CR23" s="302"/>
      <c r="CS23" s="305"/>
    </row>
    <row r="24" spans="1:97" s="147" customFormat="1" ht="13.5" customHeight="1" thickBot="1">
      <c r="A24" s="289"/>
      <c r="B24" s="290"/>
      <c r="C24" s="291"/>
      <c r="D24" s="294"/>
      <c r="E24" s="290"/>
      <c r="F24" s="290"/>
      <c r="G24" s="290"/>
      <c r="H24" s="290"/>
      <c r="I24" s="290"/>
      <c r="J24" s="290"/>
      <c r="K24" s="290"/>
      <c r="L24" s="291"/>
      <c r="M24" s="299"/>
      <c r="N24" s="300"/>
      <c r="O24" s="299"/>
      <c r="P24" s="303"/>
      <c r="Q24" s="300"/>
      <c r="R24" s="299"/>
      <c r="S24" s="303"/>
      <c r="T24" s="300"/>
      <c r="U24" s="299"/>
      <c r="V24" s="303"/>
      <c r="W24" s="300"/>
      <c r="X24" s="299"/>
      <c r="Y24" s="303"/>
      <c r="Z24" s="303"/>
      <c r="AA24" s="303"/>
      <c r="AB24" s="300"/>
      <c r="AC24" s="299"/>
      <c r="AD24" s="303"/>
      <c r="AE24" s="303"/>
      <c r="AF24" s="303"/>
      <c r="AG24" s="300"/>
      <c r="AH24" s="299"/>
      <c r="AI24" s="300"/>
      <c r="AJ24" s="299"/>
      <c r="AK24" s="300"/>
      <c r="AL24" s="299"/>
      <c r="AM24" s="300"/>
      <c r="AN24" s="299"/>
      <c r="AO24" s="300"/>
      <c r="AP24" s="299"/>
      <c r="AQ24" s="300"/>
      <c r="AR24" s="299"/>
      <c r="AS24" s="300"/>
      <c r="AT24" s="299"/>
      <c r="AU24" s="300"/>
      <c r="AV24" s="299"/>
      <c r="AW24" s="300"/>
      <c r="AX24" s="299"/>
      <c r="AY24" s="300"/>
      <c r="AZ24" s="299"/>
      <c r="BA24" s="300"/>
      <c r="BB24" s="299"/>
      <c r="BC24" s="300"/>
      <c r="BD24" s="299"/>
      <c r="BE24" s="300"/>
      <c r="BF24" s="299"/>
      <c r="BG24" s="300"/>
      <c r="BH24" s="299"/>
      <c r="BI24" s="300"/>
      <c r="BJ24" s="299"/>
      <c r="BK24" s="300"/>
      <c r="BL24" s="299"/>
      <c r="BM24" s="300"/>
      <c r="BN24" s="299"/>
      <c r="BO24" s="303"/>
      <c r="BP24" s="303"/>
      <c r="BQ24" s="300"/>
      <c r="BR24" s="299"/>
      <c r="BS24" s="303"/>
      <c r="BT24" s="300"/>
      <c r="BU24" s="299"/>
      <c r="BV24" s="303"/>
      <c r="BW24" s="303"/>
      <c r="BX24" s="303"/>
      <c r="BY24" s="303"/>
      <c r="BZ24" s="303"/>
      <c r="CA24" s="303"/>
      <c r="CB24" s="303"/>
      <c r="CC24" s="303"/>
      <c r="CD24" s="303"/>
      <c r="CE24" s="303"/>
      <c r="CF24" s="303"/>
      <c r="CG24" s="303"/>
      <c r="CH24" s="303"/>
      <c r="CI24" s="303"/>
      <c r="CJ24" s="303"/>
      <c r="CK24" s="303"/>
      <c r="CL24" s="303"/>
      <c r="CM24" s="303"/>
      <c r="CN24" s="303"/>
      <c r="CO24" s="300"/>
      <c r="CP24" s="299"/>
      <c r="CQ24" s="303"/>
      <c r="CR24" s="303"/>
      <c r="CS24" s="306"/>
    </row>
    <row r="25" spans="1:97" s="147" customFormat="1" ht="13.5" customHeight="1" thickTop="1">
      <c r="A25" s="283"/>
      <c r="B25" s="284"/>
      <c r="C25" s="285"/>
      <c r="D25" s="292"/>
      <c r="E25" s="284"/>
      <c r="F25" s="284"/>
      <c r="G25" s="284"/>
      <c r="H25" s="284"/>
      <c r="I25" s="284"/>
      <c r="J25" s="284"/>
      <c r="K25" s="284"/>
      <c r="L25" s="285"/>
      <c r="M25" s="295"/>
      <c r="N25" s="296"/>
      <c r="O25" s="295"/>
      <c r="P25" s="301"/>
      <c r="Q25" s="296"/>
      <c r="R25" s="295"/>
      <c r="S25" s="301"/>
      <c r="T25" s="296"/>
      <c r="U25" s="295"/>
      <c r="V25" s="301"/>
      <c r="W25" s="296"/>
      <c r="X25" s="295"/>
      <c r="Y25" s="301"/>
      <c r="Z25" s="301"/>
      <c r="AA25" s="301"/>
      <c r="AB25" s="296"/>
      <c r="AC25" s="295"/>
      <c r="AD25" s="301"/>
      <c r="AE25" s="301"/>
      <c r="AF25" s="301"/>
      <c r="AG25" s="296"/>
      <c r="AH25" s="295"/>
      <c r="AI25" s="296"/>
      <c r="AJ25" s="295"/>
      <c r="AK25" s="296"/>
      <c r="AL25" s="295"/>
      <c r="AM25" s="296"/>
      <c r="AN25" s="295"/>
      <c r="AO25" s="296"/>
      <c r="AP25" s="295"/>
      <c r="AQ25" s="296"/>
      <c r="AR25" s="295"/>
      <c r="AS25" s="296"/>
      <c r="AT25" s="295"/>
      <c r="AU25" s="296"/>
      <c r="AV25" s="295"/>
      <c r="AW25" s="296"/>
      <c r="AX25" s="295"/>
      <c r="AY25" s="296"/>
      <c r="AZ25" s="295"/>
      <c r="BA25" s="296"/>
      <c r="BB25" s="295"/>
      <c r="BC25" s="296"/>
      <c r="BD25" s="295"/>
      <c r="BE25" s="296"/>
      <c r="BF25" s="295"/>
      <c r="BG25" s="296"/>
      <c r="BH25" s="295"/>
      <c r="BI25" s="296"/>
      <c r="BJ25" s="295"/>
      <c r="BK25" s="296"/>
      <c r="BL25" s="295"/>
      <c r="BM25" s="296"/>
      <c r="BN25" s="295"/>
      <c r="BO25" s="301"/>
      <c r="BP25" s="301"/>
      <c r="BQ25" s="296"/>
      <c r="BR25" s="295"/>
      <c r="BS25" s="301"/>
      <c r="BT25" s="296"/>
      <c r="BU25" s="295"/>
      <c r="BV25" s="301"/>
      <c r="BW25" s="301"/>
      <c r="BX25" s="301"/>
      <c r="BY25" s="301"/>
      <c r="BZ25" s="301"/>
      <c r="CA25" s="301"/>
      <c r="CB25" s="301"/>
      <c r="CC25" s="301"/>
      <c r="CD25" s="301"/>
      <c r="CE25" s="301"/>
      <c r="CF25" s="301"/>
      <c r="CG25" s="301"/>
      <c r="CH25" s="301"/>
      <c r="CI25" s="301"/>
      <c r="CJ25" s="301"/>
      <c r="CK25" s="301"/>
      <c r="CL25" s="301"/>
      <c r="CM25" s="301"/>
      <c r="CN25" s="301"/>
      <c r="CO25" s="296"/>
      <c r="CP25" s="295"/>
      <c r="CQ25" s="301"/>
      <c r="CR25" s="301"/>
      <c r="CS25" s="304"/>
    </row>
    <row r="26" spans="1:97" s="147" customFormat="1" ht="13.5" customHeight="1">
      <c r="A26" s="286"/>
      <c r="B26" s="287"/>
      <c r="C26" s="288"/>
      <c r="D26" s="293"/>
      <c r="E26" s="287"/>
      <c r="F26" s="287"/>
      <c r="G26" s="287"/>
      <c r="H26" s="287"/>
      <c r="I26" s="287"/>
      <c r="J26" s="287"/>
      <c r="K26" s="287"/>
      <c r="L26" s="288"/>
      <c r="M26" s="297"/>
      <c r="N26" s="298"/>
      <c r="O26" s="297"/>
      <c r="P26" s="302"/>
      <c r="Q26" s="298"/>
      <c r="R26" s="297"/>
      <c r="S26" s="302"/>
      <c r="T26" s="298"/>
      <c r="U26" s="297"/>
      <c r="V26" s="302"/>
      <c r="W26" s="298"/>
      <c r="X26" s="297"/>
      <c r="Y26" s="302"/>
      <c r="Z26" s="302"/>
      <c r="AA26" s="302"/>
      <c r="AB26" s="298"/>
      <c r="AC26" s="297"/>
      <c r="AD26" s="302"/>
      <c r="AE26" s="302"/>
      <c r="AF26" s="302"/>
      <c r="AG26" s="298"/>
      <c r="AH26" s="297"/>
      <c r="AI26" s="298"/>
      <c r="AJ26" s="297"/>
      <c r="AK26" s="298"/>
      <c r="AL26" s="297"/>
      <c r="AM26" s="298"/>
      <c r="AN26" s="297"/>
      <c r="AO26" s="298"/>
      <c r="AP26" s="297"/>
      <c r="AQ26" s="298"/>
      <c r="AR26" s="297"/>
      <c r="AS26" s="298"/>
      <c r="AT26" s="297"/>
      <c r="AU26" s="298"/>
      <c r="AV26" s="297"/>
      <c r="AW26" s="298"/>
      <c r="AX26" s="297"/>
      <c r="AY26" s="298"/>
      <c r="AZ26" s="297"/>
      <c r="BA26" s="298"/>
      <c r="BB26" s="297"/>
      <c r="BC26" s="298"/>
      <c r="BD26" s="297"/>
      <c r="BE26" s="298"/>
      <c r="BF26" s="297"/>
      <c r="BG26" s="298"/>
      <c r="BH26" s="297"/>
      <c r="BI26" s="298"/>
      <c r="BJ26" s="297"/>
      <c r="BK26" s="298"/>
      <c r="BL26" s="297"/>
      <c r="BM26" s="298"/>
      <c r="BN26" s="297"/>
      <c r="BO26" s="302"/>
      <c r="BP26" s="302"/>
      <c r="BQ26" s="298"/>
      <c r="BR26" s="297"/>
      <c r="BS26" s="302"/>
      <c r="BT26" s="298"/>
      <c r="BU26" s="297"/>
      <c r="BV26" s="302"/>
      <c r="BW26" s="302"/>
      <c r="BX26" s="302"/>
      <c r="BY26" s="302"/>
      <c r="BZ26" s="302"/>
      <c r="CA26" s="302"/>
      <c r="CB26" s="302"/>
      <c r="CC26" s="302"/>
      <c r="CD26" s="302"/>
      <c r="CE26" s="302"/>
      <c r="CF26" s="302"/>
      <c r="CG26" s="302"/>
      <c r="CH26" s="302"/>
      <c r="CI26" s="302"/>
      <c r="CJ26" s="302"/>
      <c r="CK26" s="302"/>
      <c r="CL26" s="302"/>
      <c r="CM26" s="302"/>
      <c r="CN26" s="302"/>
      <c r="CO26" s="298"/>
      <c r="CP26" s="297"/>
      <c r="CQ26" s="302"/>
      <c r="CR26" s="302"/>
      <c r="CS26" s="305"/>
    </row>
    <row r="27" spans="1:97" s="147" customFormat="1" ht="13.5" customHeight="1">
      <c r="A27" s="286"/>
      <c r="B27" s="287"/>
      <c r="C27" s="288"/>
      <c r="D27" s="293"/>
      <c r="E27" s="287"/>
      <c r="F27" s="287"/>
      <c r="G27" s="287"/>
      <c r="H27" s="287"/>
      <c r="I27" s="287"/>
      <c r="J27" s="287"/>
      <c r="K27" s="287"/>
      <c r="L27" s="288"/>
      <c r="M27" s="297"/>
      <c r="N27" s="298"/>
      <c r="O27" s="297"/>
      <c r="P27" s="302"/>
      <c r="Q27" s="298"/>
      <c r="R27" s="297"/>
      <c r="S27" s="302"/>
      <c r="T27" s="298"/>
      <c r="U27" s="297"/>
      <c r="V27" s="302"/>
      <c r="W27" s="298"/>
      <c r="X27" s="297"/>
      <c r="Y27" s="302"/>
      <c r="Z27" s="302"/>
      <c r="AA27" s="302"/>
      <c r="AB27" s="298"/>
      <c r="AC27" s="297"/>
      <c r="AD27" s="302"/>
      <c r="AE27" s="302"/>
      <c r="AF27" s="302"/>
      <c r="AG27" s="298"/>
      <c r="AH27" s="297"/>
      <c r="AI27" s="298"/>
      <c r="AJ27" s="297"/>
      <c r="AK27" s="298"/>
      <c r="AL27" s="297"/>
      <c r="AM27" s="298"/>
      <c r="AN27" s="297"/>
      <c r="AO27" s="298"/>
      <c r="AP27" s="297"/>
      <c r="AQ27" s="298"/>
      <c r="AR27" s="297"/>
      <c r="AS27" s="298"/>
      <c r="AT27" s="297"/>
      <c r="AU27" s="298"/>
      <c r="AV27" s="297"/>
      <c r="AW27" s="298"/>
      <c r="AX27" s="297"/>
      <c r="AY27" s="298"/>
      <c r="AZ27" s="297"/>
      <c r="BA27" s="298"/>
      <c r="BB27" s="297"/>
      <c r="BC27" s="298"/>
      <c r="BD27" s="297"/>
      <c r="BE27" s="298"/>
      <c r="BF27" s="297"/>
      <c r="BG27" s="298"/>
      <c r="BH27" s="297"/>
      <c r="BI27" s="298"/>
      <c r="BJ27" s="297"/>
      <c r="BK27" s="298"/>
      <c r="BL27" s="297"/>
      <c r="BM27" s="298"/>
      <c r="BN27" s="297"/>
      <c r="BO27" s="302"/>
      <c r="BP27" s="302"/>
      <c r="BQ27" s="298"/>
      <c r="BR27" s="297"/>
      <c r="BS27" s="302"/>
      <c r="BT27" s="298"/>
      <c r="BU27" s="297"/>
      <c r="BV27" s="302"/>
      <c r="BW27" s="302"/>
      <c r="BX27" s="302"/>
      <c r="BY27" s="302"/>
      <c r="BZ27" s="302"/>
      <c r="CA27" s="302"/>
      <c r="CB27" s="302"/>
      <c r="CC27" s="302"/>
      <c r="CD27" s="302"/>
      <c r="CE27" s="302"/>
      <c r="CF27" s="302"/>
      <c r="CG27" s="302"/>
      <c r="CH27" s="302"/>
      <c r="CI27" s="302"/>
      <c r="CJ27" s="302"/>
      <c r="CK27" s="302"/>
      <c r="CL27" s="302"/>
      <c r="CM27" s="302"/>
      <c r="CN27" s="302"/>
      <c r="CO27" s="298"/>
      <c r="CP27" s="297"/>
      <c r="CQ27" s="302"/>
      <c r="CR27" s="302"/>
      <c r="CS27" s="305"/>
    </row>
    <row r="28" spans="1:97" s="147" customFormat="1" ht="13.5" customHeight="1" thickBot="1">
      <c r="A28" s="289"/>
      <c r="B28" s="290"/>
      <c r="C28" s="291"/>
      <c r="D28" s="294"/>
      <c r="E28" s="290"/>
      <c r="F28" s="290"/>
      <c r="G28" s="290"/>
      <c r="H28" s="290"/>
      <c r="I28" s="290"/>
      <c r="J28" s="290"/>
      <c r="K28" s="290"/>
      <c r="L28" s="291"/>
      <c r="M28" s="299"/>
      <c r="N28" s="300"/>
      <c r="O28" s="299"/>
      <c r="P28" s="303"/>
      <c r="Q28" s="300"/>
      <c r="R28" s="299"/>
      <c r="S28" s="303"/>
      <c r="T28" s="300"/>
      <c r="U28" s="299"/>
      <c r="V28" s="303"/>
      <c r="W28" s="300"/>
      <c r="X28" s="299"/>
      <c r="Y28" s="303"/>
      <c r="Z28" s="303"/>
      <c r="AA28" s="303"/>
      <c r="AB28" s="300"/>
      <c r="AC28" s="299"/>
      <c r="AD28" s="303"/>
      <c r="AE28" s="303"/>
      <c r="AF28" s="303"/>
      <c r="AG28" s="300"/>
      <c r="AH28" s="299"/>
      <c r="AI28" s="300"/>
      <c r="AJ28" s="299"/>
      <c r="AK28" s="300"/>
      <c r="AL28" s="299"/>
      <c r="AM28" s="300"/>
      <c r="AN28" s="299"/>
      <c r="AO28" s="300"/>
      <c r="AP28" s="299"/>
      <c r="AQ28" s="300"/>
      <c r="AR28" s="299"/>
      <c r="AS28" s="300"/>
      <c r="AT28" s="299"/>
      <c r="AU28" s="300"/>
      <c r="AV28" s="299"/>
      <c r="AW28" s="300"/>
      <c r="AX28" s="299"/>
      <c r="AY28" s="300"/>
      <c r="AZ28" s="299"/>
      <c r="BA28" s="300"/>
      <c r="BB28" s="299"/>
      <c r="BC28" s="300"/>
      <c r="BD28" s="299"/>
      <c r="BE28" s="300"/>
      <c r="BF28" s="299"/>
      <c r="BG28" s="300"/>
      <c r="BH28" s="299"/>
      <c r="BI28" s="300"/>
      <c r="BJ28" s="299"/>
      <c r="BK28" s="300"/>
      <c r="BL28" s="299"/>
      <c r="BM28" s="300"/>
      <c r="BN28" s="299"/>
      <c r="BO28" s="303"/>
      <c r="BP28" s="303"/>
      <c r="BQ28" s="300"/>
      <c r="BR28" s="299"/>
      <c r="BS28" s="303"/>
      <c r="BT28" s="300"/>
      <c r="BU28" s="299"/>
      <c r="BV28" s="303"/>
      <c r="BW28" s="303"/>
      <c r="BX28" s="303"/>
      <c r="BY28" s="303"/>
      <c r="BZ28" s="303"/>
      <c r="CA28" s="303"/>
      <c r="CB28" s="303"/>
      <c r="CC28" s="303"/>
      <c r="CD28" s="303"/>
      <c r="CE28" s="303"/>
      <c r="CF28" s="303"/>
      <c r="CG28" s="303"/>
      <c r="CH28" s="303"/>
      <c r="CI28" s="303"/>
      <c r="CJ28" s="303"/>
      <c r="CK28" s="303"/>
      <c r="CL28" s="303"/>
      <c r="CM28" s="303"/>
      <c r="CN28" s="303"/>
      <c r="CO28" s="300"/>
      <c r="CP28" s="299"/>
      <c r="CQ28" s="303"/>
      <c r="CR28" s="303"/>
      <c r="CS28" s="306"/>
    </row>
    <row r="29" spans="1:97" s="147" customFormat="1" ht="13.5" customHeight="1" thickTop="1">
      <c r="A29" s="283"/>
      <c r="B29" s="284"/>
      <c r="C29" s="285"/>
      <c r="D29" s="292"/>
      <c r="E29" s="284"/>
      <c r="F29" s="284"/>
      <c r="G29" s="284"/>
      <c r="H29" s="284"/>
      <c r="I29" s="284"/>
      <c r="J29" s="284"/>
      <c r="K29" s="284"/>
      <c r="L29" s="285"/>
      <c r="M29" s="295"/>
      <c r="N29" s="296"/>
      <c r="O29" s="295"/>
      <c r="P29" s="301"/>
      <c r="Q29" s="296"/>
      <c r="R29" s="295"/>
      <c r="S29" s="301"/>
      <c r="T29" s="296"/>
      <c r="U29" s="295"/>
      <c r="V29" s="301"/>
      <c r="W29" s="296"/>
      <c r="X29" s="295"/>
      <c r="Y29" s="301"/>
      <c r="Z29" s="301"/>
      <c r="AA29" s="301"/>
      <c r="AB29" s="296"/>
      <c r="AC29" s="295"/>
      <c r="AD29" s="301"/>
      <c r="AE29" s="301"/>
      <c r="AF29" s="301"/>
      <c r="AG29" s="296"/>
      <c r="AH29" s="295"/>
      <c r="AI29" s="296"/>
      <c r="AJ29" s="295"/>
      <c r="AK29" s="296"/>
      <c r="AL29" s="295"/>
      <c r="AM29" s="296"/>
      <c r="AN29" s="295"/>
      <c r="AO29" s="296"/>
      <c r="AP29" s="295"/>
      <c r="AQ29" s="296"/>
      <c r="AR29" s="295"/>
      <c r="AS29" s="296"/>
      <c r="AT29" s="295"/>
      <c r="AU29" s="296"/>
      <c r="AV29" s="295"/>
      <c r="AW29" s="296"/>
      <c r="AX29" s="295"/>
      <c r="AY29" s="296"/>
      <c r="AZ29" s="295"/>
      <c r="BA29" s="296"/>
      <c r="BB29" s="295"/>
      <c r="BC29" s="296"/>
      <c r="BD29" s="295"/>
      <c r="BE29" s="296"/>
      <c r="BF29" s="295"/>
      <c r="BG29" s="296"/>
      <c r="BH29" s="295"/>
      <c r="BI29" s="296"/>
      <c r="BJ29" s="295"/>
      <c r="BK29" s="296"/>
      <c r="BL29" s="295"/>
      <c r="BM29" s="296"/>
      <c r="BN29" s="295"/>
      <c r="BO29" s="301"/>
      <c r="BP29" s="301"/>
      <c r="BQ29" s="296"/>
      <c r="BR29" s="295"/>
      <c r="BS29" s="301"/>
      <c r="BT29" s="296"/>
      <c r="BU29" s="295"/>
      <c r="BV29" s="301"/>
      <c r="BW29" s="301"/>
      <c r="BX29" s="301"/>
      <c r="BY29" s="301"/>
      <c r="BZ29" s="301"/>
      <c r="CA29" s="301"/>
      <c r="CB29" s="301"/>
      <c r="CC29" s="301"/>
      <c r="CD29" s="301"/>
      <c r="CE29" s="301"/>
      <c r="CF29" s="301"/>
      <c r="CG29" s="301"/>
      <c r="CH29" s="301"/>
      <c r="CI29" s="301"/>
      <c r="CJ29" s="301"/>
      <c r="CK29" s="301"/>
      <c r="CL29" s="301"/>
      <c r="CM29" s="301"/>
      <c r="CN29" s="301"/>
      <c r="CO29" s="296"/>
      <c r="CP29" s="295"/>
      <c r="CQ29" s="301"/>
      <c r="CR29" s="301"/>
      <c r="CS29" s="304"/>
    </row>
    <row r="30" spans="1:97" s="147" customFormat="1" ht="13.5" customHeight="1">
      <c r="A30" s="286"/>
      <c r="B30" s="287"/>
      <c r="C30" s="288"/>
      <c r="D30" s="293"/>
      <c r="E30" s="287"/>
      <c r="F30" s="287"/>
      <c r="G30" s="287"/>
      <c r="H30" s="287"/>
      <c r="I30" s="287"/>
      <c r="J30" s="287"/>
      <c r="K30" s="287"/>
      <c r="L30" s="288"/>
      <c r="M30" s="297"/>
      <c r="N30" s="298"/>
      <c r="O30" s="297"/>
      <c r="P30" s="302"/>
      <c r="Q30" s="298"/>
      <c r="R30" s="297"/>
      <c r="S30" s="302"/>
      <c r="T30" s="298"/>
      <c r="U30" s="297"/>
      <c r="V30" s="302"/>
      <c r="W30" s="298"/>
      <c r="X30" s="297"/>
      <c r="Y30" s="302"/>
      <c r="Z30" s="302"/>
      <c r="AA30" s="302"/>
      <c r="AB30" s="298"/>
      <c r="AC30" s="297"/>
      <c r="AD30" s="302"/>
      <c r="AE30" s="302"/>
      <c r="AF30" s="302"/>
      <c r="AG30" s="298"/>
      <c r="AH30" s="297"/>
      <c r="AI30" s="298"/>
      <c r="AJ30" s="297"/>
      <c r="AK30" s="298"/>
      <c r="AL30" s="297"/>
      <c r="AM30" s="298"/>
      <c r="AN30" s="297"/>
      <c r="AO30" s="298"/>
      <c r="AP30" s="297"/>
      <c r="AQ30" s="298"/>
      <c r="AR30" s="297"/>
      <c r="AS30" s="298"/>
      <c r="AT30" s="297"/>
      <c r="AU30" s="298"/>
      <c r="AV30" s="297"/>
      <c r="AW30" s="298"/>
      <c r="AX30" s="297"/>
      <c r="AY30" s="298"/>
      <c r="AZ30" s="297"/>
      <c r="BA30" s="298"/>
      <c r="BB30" s="297"/>
      <c r="BC30" s="298"/>
      <c r="BD30" s="297"/>
      <c r="BE30" s="298"/>
      <c r="BF30" s="297"/>
      <c r="BG30" s="298"/>
      <c r="BH30" s="297"/>
      <c r="BI30" s="298"/>
      <c r="BJ30" s="297"/>
      <c r="BK30" s="298"/>
      <c r="BL30" s="297"/>
      <c r="BM30" s="298"/>
      <c r="BN30" s="297"/>
      <c r="BO30" s="302"/>
      <c r="BP30" s="302"/>
      <c r="BQ30" s="298"/>
      <c r="BR30" s="297"/>
      <c r="BS30" s="302"/>
      <c r="BT30" s="298"/>
      <c r="BU30" s="297"/>
      <c r="BV30" s="302"/>
      <c r="BW30" s="302"/>
      <c r="BX30" s="302"/>
      <c r="BY30" s="302"/>
      <c r="BZ30" s="302"/>
      <c r="CA30" s="302"/>
      <c r="CB30" s="302"/>
      <c r="CC30" s="302"/>
      <c r="CD30" s="302"/>
      <c r="CE30" s="302"/>
      <c r="CF30" s="302"/>
      <c r="CG30" s="302"/>
      <c r="CH30" s="302"/>
      <c r="CI30" s="302"/>
      <c r="CJ30" s="302"/>
      <c r="CK30" s="302"/>
      <c r="CL30" s="302"/>
      <c r="CM30" s="302"/>
      <c r="CN30" s="302"/>
      <c r="CO30" s="298"/>
      <c r="CP30" s="297"/>
      <c r="CQ30" s="302"/>
      <c r="CR30" s="302"/>
      <c r="CS30" s="305"/>
    </row>
    <row r="31" spans="1:97" s="147" customFormat="1" ht="13.5" customHeight="1">
      <c r="A31" s="286"/>
      <c r="B31" s="287"/>
      <c r="C31" s="288"/>
      <c r="D31" s="293"/>
      <c r="E31" s="287"/>
      <c r="F31" s="287"/>
      <c r="G31" s="287"/>
      <c r="H31" s="287"/>
      <c r="I31" s="287"/>
      <c r="J31" s="287"/>
      <c r="K31" s="287"/>
      <c r="L31" s="288"/>
      <c r="M31" s="297"/>
      <c r="N31" s="298"/>
      <c r="O31" s="297"/>
      <c r="P31" s="302"/>
      <c r="Q31" s="298"/>
      <c r="R31" s="297"/>
      <c r="S31" s="302"/>
      <c r="T31" s="298"/>
      <c r="U31" s="297"/>
      <c r="V31" s="302"/>
      <c r="W31" s="298"/>
      <c r="X31" s="297"/>
      <c r="Y31" s="302"/>
      <c r="Z31" s="302"/>
      <c r="AA31" s="302"/>
      <c r="AB31" s="298"/>
      <c r="AC31" s="297"/>
      <c r="AD31" s="302"/>
      <c r="AE31" s="302"/>
      <c r="AF31" s="302"/>
      <c r="AG31" s="298"/>
      <c r="AH31" s="297"/>
      <c r="AI31" s="298"/>
      <c r="AJ31" s="297"/>
      <c r="AK31" s="298"/>
      <c r="AL31" s="297"/>
      <c r="AM31" s="298"/>
      <c r="AN31" s="297"/>
      <c r="AO31" s="298"/>
      <c r="AP31" s="297"/>
      <c r="AQ31" s="298"/>
      <c r="AR31" s="297"/>
      <c r="AS31" s="298"/>
      <c r="AT31" s="297"/>
      <c r="AU31" s="298"/>
      <c r="AV31" s="297"/>
      <c r="AW31" s="298"/>
      <c r="AX31" s="297"/>
      <c r="AY31" s="298"/>
      <c r="AZ31" s="297"/>
      <c r="BA31" s="298"/>
      <c r="BB31" s="297"/>
      <c r="BC31" s="298"/>
      <c r="BD31" s="297"/>
      <c r="BE31" s="298"/>
      <c r="BF31" s="297"/>
      <c r="BG31" s="298"/>
      <c r="BH31" s="297"/>
      <c r="BI31" s="298"/>
      <c r="BJ31" s="297"/>
      <c r="BK31" s="298"/>
      <c r="BL31" s="297"/>
      <c r="BM31" s="298"/>
      <c r="BN31" s="297"/>
      <c r="BO31" s="302"/>
      <c r="BP31" s="302"/>
      <c r="BQ31" s="298"/>
      <c r="BR31" s="297"/>
      <c r="BS31" s="302"/>
      <c r="BT31" s="298"/>
      <c r="BU31" s="297"/>
      <c r="BV31" s="302"/>
      <c r="BW31" s="302"/>
      <c r="BX31" s="302"/>
      <c r="BY31" s="302"/>
      <c r="BZ31" s="302"/>
      <c r="CA31" s="302"/>
      <c r="CB31" s="302"/>
      <c r="CC31" s="302"/>
      <c r="CD31" s="302"/>
      <c r="CE31" s="302"/>
      <c r="CF31" s="302"/>
      <c r="CG31" s="302"/>
      <c r="CH31" s="302"/>
      <c r="CI31" s="302"/>
      <c r="CJ31" s="302"/>
      <c r="CK31" s="302"/>
      <c r="CL31" s="302"/>
      <c r="CM31" s="302"/>
      <c r="CN31" s="302"/>
      <c r="CO31" s="298"/>
      <c r="CP31" s="297"/>
      <c r="CQ31" s="302"/>
      <c r="CR31" s="302"/>
      <c r="CS31" s="305"/>
    </row>
    <row r="32" spans="1:97" s="147" customFormat="1" ht="13.5" customHeight="1" thickBot="1">
      <c r="A32" s="289"/>
      <c r="B32" s="290"/>
      <c r="C32" s="291"/>
      <c r="D32" s="294"/>
      <c r="E32" s="290"/>
      <c r="F32" s="290"/>
      <c r="G32" s="290"/>
      <c r="H32" s="290"/>
      <c r="I32" s="290"/>
      <c r="J32" s="290"/>
      <c r="K32" s="290"/>
      <c r="L32" s="291"/>
      <c r="M32" s="299"/>
      <c r="N32" s="300"/>
      <c r="O32" s="299"/>
      <c r="P32" s="303"/>
      <c r="Q32" s="300"/>
      <c r="R32" s="299"/>
      <c r="S32" s="303"/>
      <c r="T32" s="300"/>
      <c r="U32" s="299"/>
      <c r="V32" s="303"/>
      <c r="W32" s="300"/>
      <c r="X32" s="299"/>
      <c r="Y32" s="303"/>
      <c r="Z32" s="303"/>
      <c r="AA32" s="303"/>
      <c r="AB32" s="300"/>
      <c r="AC32" s="299"/>
      <c r="AD32" s="303"/>
      <c r="AE32" s="303"/>
      <c r="AF32" s="303"/>
      <c r="AG32" s="300"/>
      <c r="AH32" s="299"/>
      <c r="AI32" s="300"/>
      <c r="AJ32" s="299"/>
      <c r="AK32" s="300"/>
      <c r="AL32" s="299"/>
      <c r="AM32" s="300"/>
      <c r="AN32" s="299"/>
      <c r="AO32" s="300"/>
      <c r="AP32" s="299"/>
      <c r="AQ32" s="300"/>
      <c r="AR32" s="299"/>
      <c r="AS32" s="300"/>
      <c r="AT32" s="299"/>
      <c r="AU32" s="300"/>
      <c r="AV32" s="299"/>
      <c r="AW32" s="300"/>
      <c r="AX32" s="299"/>
      <c r="AY32" s="300"/>
      <c r="AZ32" s="299"/>
      <c r="BA32" s="300"/>
      <c r="BB32" s="299"/>
      <c r="BC32" s="300"/>
      <c r="BD32" s="299"/>
      <c r="BE32" s="300"/>
      <c r="BF32" s="299"/>
      <c r="BG32" s="300"/>
      <c r="BH32" s="299"/>
      <c r="BI32" s="300"/>
      <c r="BJ32" s="299"/>
      <c r="BK32" s="300"/>
      <c r="BL32" s="299"/>
      <c r="BM32" s="300"/>
      <c r="BN32" s="299"/>
      <c r="BO32" s="303"/>
      <c r="BP32" s="303"/>
      <c r="BQ32" s="300"/>
      <c r="BR32" s="299"/>
      <c r="BS32" s="303"/>
      <c r="BT32" s="300"/>
      <c r="BU32" s="299"/>
      <c r="BV32" s="303"/>
      <c r="BW32" s="303"/>
      <c r="BX32" s="303"/>
      <c r="BY32" s="303"/>
      <c r="BZ32" s="303"/>
      <c r="CA32" s="303"/>
      <c r="CB32" s="303"/>
      <c r="CC32" s="303"/>
      <c r="CD32" s="303"/>
      <c r="CE32" s="303"/>
      <c r="CF32" s="303"/>
      <c r="CG32" s="303"/>
      <c r="CH32" s="303"/>
      <c r="CI32" s="303"/>
      <c r="CJ32" s="303"/>
      <c r="CK32" s="303"/>
      <c r="CL32" s="303"/>
      <c r="CM32" s="303"/>
      <c r="CN32" s="303"/>
      <c r="CO32" s="300"/>
      <c r="CP32" s="299"/>
      <c r="CQ32" s="303"/>
      <c r="CR32" s="303"/>
      <c r="CS32" s="306"/>
    </row>
    <row r="33" spans="1:97" s="147" customFormat="1" ht="13.5" customHeight="1" thickTop="1">
      <c r="A33" s="283"/>
      <c r="B33" s="284"/>
      <c r="C33" s="285"/>
      <c r="D33" s="292"/>
      <c r="E33" s="284"/>
      <c r="F33" s="284"/>
      <c r="G33" s="284"/>
      <c r="H33" s="284"/>
      <c r="I33" s="284"/>
      <c r="J33" s="284"/>
      <c r="K33" s="284"/>
      <c r="L33" s="285"/>
      <c r="M33" s="295"/>
      <c r="N33" s="296"/>
      <c r="O33" s="295"/>
      <c r="P33" s="301"/>
      <c r="Q33" s="296"/>
      <c r="R33" s="295"/>
      <c r="S33" s="301"/>
      <c r="T33" s="296"/>
      <c r="U33" s="295"/>
      <c r="V33" s="301"/>
      <c r="W33" s="296"/>
      <c r="X33" s="295"/>
      <c r="Y33" s="301"/>
      <c r="Z33" s="301"/>
      <c r="AA33" s="301"/>
      <c r="AB33" s="296"/>
      <c r="AC33" s="295"/>
      <c r="AD33" s="301"/>
      <c r="AE33" s="301"/>
      <c r="AF33" s="301"/>
      <c r="AG33" s="296"/>
      <c r="AH33" s="295"/>
      <c r="AI33" s="296"/>
      <c r="AJ33" s="295"/>
      <c r="AK33" s="296"/>
      <c r="AL33" s="295"/>
      <c r="AM33" s="296"/>
      <c r="AN33" s="295"/>
      <c r="AO33" s="296"/>
      <c r="AP33" s="295"/>
      <c r="AQ33" s="296"/>
      <c r="AR33" s="295"/>
      <c r="AS33" s="296"/>
      <c r="AT33" s="295"/>
      <c r="AU33" s="296"/>
      <c r="AV33" s="295"/>
      <c r="AW33" s="296"/>
      <c r="AX33" s="295"/>
      <c r="AY33" s="296"/>
      <c r="AZ33" s="295"/>
      <c r="BA33" s="296"/>
      <c r="BB33" s="295"/>
      <c r="BC33" s="296"/>
      <c r="BD33" s="295"/>
      <c r="BE33" s="296"/>
      <c r="BF33" s="295"/>
      <c r="BG33" s="296"/>
      <c r="BH33" s="295"/>
      <c r="BI33" s="296"/>
      <c r="BJ33" s="295"/>
      <c r="BK33" s="296"/>
      <c r="BL33" s="295"/>
      <c r="BM33" s="296"/>
      <c r="BN33" s="295"/>
      <c r="BO33" s="301"/>
      <c r="BP33" s="301"/>
      <c r="BQ33" s="296"/>
      <c r="BR33" s="295"/>
      <c r="BS33" s="301"/>
      <c r="BT33" s="296"/>
      <c r="BU33" s="295"/>
      <c r="BV33" s="301"/>
      <c r="BW33" s="301"/>
      <c r="BX33" s="301"/>
      <c r="BY33" s="301"/>
      <c r="BZ33" s="301"/>
      <c r="CA33" s="301"/>
      <c r="CB33" s="301"/>
      <c r="CC33" s="301"/>
      <c r="CD33" s="301"/>
      <c r="CE33" s="301"/>
      <c r="CF33" s="301"/>
      <c r="CG33" s="301"/>
      <c r="CH33" s="301"/>
      <c r="CI33" s="301"/>
      <c r="CJ33" s="301"/>
      <c r="CK33" s="301"/>
      <c r="CL33" s="301"/>
      <c r="CM33" s="301"/>
      <c r="CN33" s="301"/>
      <c r="CO33" s="296"/>
      <c r="CP33" s="295"/>
      <c r="CQ33" s="301"/>
      <c r="CR33" s="301"/>
      <c r="CS33" s="304"/>
    </row>
    <row r="34" spans="1:97" s="147" customFormat="1" ht="13.5" customHeight="1">
      <c r="A34" s="286"/>
      <c r="B34" s="287"/>
      <c r="C34" s="288"/>
      <c r="D34" s="293"/>
      <c r="E34" s="287"/>
      <c r="F34" s="287"/>
      <c r="G34" s="287"/>
      <c r="H34" s="287"/>
      <c r="I34" s="287"/>
      <c r="J34" s="287"/>
      <c r="K34" s="287"/>
      <c r="L34" s="288"/>
      <c r="M34" s="297"/>
      <c r="N34" s="298"/>
      <c r="O34" s="297"/>
      <c r="P34" s="302"/>
      <c r="Q34" s="298"/>
      <c r="R34" s="297"/>
      <c r="S34" s="302"/>
      <c r="T34" s="298"/>
      <c r="U34" s="297"/>
      <c r="V34" s="302"/>
      <c r="W34" s="298"/>
      <c r="X34" s="297"/>
      <c r="Y34" s="302"/>
      <c r="Z34" s="302"/>
      <c r="AA34" s="302"/>
      <c r="AB34" s="298"/>
      <c r="AC34" s="297"/>
      <c r="AD34" s="302"/>
      <c r="AE34" s="302"/>
      <c r="AF34" s="302"/>
      <c r="AG34" s="298"/>
      <c r="AH34" s="297"/>
      <c r="AI34" s="298"/>
      <c r="AJ34" s="297"/>
      <c r="AK34" s="298"/>
      <c r="AL34" s="297"/>
      <c r="AM34" s="298"/>
      <c r="AN34" s="297"/>
      <c r="AO34" s="298"/>
      <c r="AP34" s="297"/>
      <c r="AQ34" s="298"/>
      <c r="AR34" s="297"/>
      <c r="AS34" s="298"/>
      <c r="AT34" s="297"/>
      <c r="AU34" s="298"/>
      <c r="AV34" s="297"/>
      <c r="AW34" s="298"/>
      <c r="AX34" s="297"/>
      <c r="AY34" s="298"/>
      <c r="AZ34" s="297"/>
      <c r="BA34" s="298"/>
      <c r="BB34" s="297"/>
      <c r="BC34" s="298"/>
      <c r="BD34" s="297"/>
      <c r="BE34" s="298"/>
      <c r="BF34" s="297"/>
      <c r="BG34" s="298"/>
      <c r="BH34" s="297"/>
      <c r="BI34" s="298"/>
      <c r="BJ34" s="297"/>
      <c r="BK34" s="298"/>
      <c r="BL34" s="297"/>
      <c r="BM34" s="298"/>
      <c r="BN34" s="297"/>
      <c r="BO34" s="302"/>
      <c r="BP34" s="302"/>
      <c r="BQ34" s="298"/>
      <c r="BR34" s="297"/>
      <c r="BS34" s="302"/>
      <c r="BT34" s="298"/>
      <c r="BU34" s="297"/>
      <c r="BV34" s="302"/>
      <c r="BW34" s="302"/>
      <c r="BX34" s="302"/>
      <c r="BY34" s="302"/>
      <c r="BZ34" s="302"/>
      <c r="CA34" s="302"/>
      <c r="CB34" s="302"/>
      <c r="CC34" s="302"/>
      <c r="CD34" s="302"/>
      <c r="CE34" s="302"/>
      <c r="CF34" s="302"/>
      <c r="CG34" s="302"/>
      <c r="CH34" s="302"/>
      <c r="CI34" s="302"/>
      <c r="CJ34" s="302"/>
      <c r="CK34" s="302"/>
      <c r="CL34" s="302"/>
      <c r="CM34" s="302"/>
      <c r="CN34" s="302"/>
      <c r="CO34" s="298"/>
      <c r="CP34" s="297"/>
      <c r="CQ34" s="302"/>
      <c r="CR34" s="302"/>
      <c r="CS34" s="305"/>
    </row>
    <row r="35" spans="1:97" s="147" customFormat="1" ht="13.5" customHeight="1">
      <c r="A35" s="286"/>
      <c r="B35" s="287"/>
      <c r="C35" s="288"/>
      <c r="D35" s="293"/>
      <c r="E35" s="287"/>
      <c r="F35" s="287"/>
      <c r="G35" s="287"/>
      <c r="H35" s="287"/>
      <c r="I35" s="287"/>
      <c r="J35" s="287"/>
      <c r="K35" s="287"/>
      <c r="L35" s="288"/>
      <c r="M35" s="297"/>
      <c r="N35" s="298"/>
      <c r="O35" s="297"/>
      <c r="P35" s="302"/>
      <c r="Q35" s="298"/>
      <c r="R35" s="297"/>
      <c r="S35" s="302"/>
      <c r="T35" s="298"/>
      <c r="U35" s="297"/>
      <c r="V35" s="302"/>
      <c r="W35" s="298"/>
      <c r="X35" s="297"/>
      <c r="Y35" s="302"/>
      <c r="Z35" s="302"/>
      <c r="AA35" s="302"/>
      <c r="AB35" s="298"/>
      <c r="AC35" s="297"/>
      <c r="AD35" s="302"/>
      <c r="AE35" s="302"/>
      <c r="AF35" s="302"/>
      <c r="AG35" s="298"/>
      <c r="AH35" s="297"/>
      <c r="AI35" s="298"/>
      <c r="AJ35" s="297"/>
      <c r="AK35" s="298"/>
      <c r="AL35" s="297"/>
      <c r="AM35" s="298"/>
      <c r="AN35" s="297"/>
      <c r="AO35" s="298"/>
      <c r="AP35" s="297"/>
      <c r="AQ35" s="298"/>
      <c r="AR35" s="297"/>
      <c r="AS35" s="298"/>
      <c r="AT35" s="297"/>
      <c r="AU35" s="298"/>
      <c r="AV35" s="297"/>
      <c r="AW35" s="298"/>
      <c r="AX35" s="297"/>
      <c r="AY35" s="298"/>
      <c r="AZ35" s="297"/>
      <c r="BA35" s="298"/>
      <c r="BB35" s="297"/>
      <c r="BC35" s="298"/>
      <c r="BD35" s="297"/>
      <c r="BE35" s="298"/>
      <c r="BF35" s="297"/>
      <c r="BG35" s="298"/>
      <c r="BH35" s="297"/>
      <c r="BI35" s="298"/>
      <c r="BJ35" s="297"/>
      <c r="BK35" s="298"/>
      <c r="BL35" s="297"/>
      <c r="BM35" s="298"/>
      <c r="BN35" s="297"/>
      <c r="BO35" s="302"/>
      <c r="BP35" s="302"/>
      <c r="BQ35" s="298"/>
      <c r="BR35" s="297"/>
      <c r="BS35" s="302"/>
      <c r="BT35" s="298"/>
      <c r="BU35" s="297"/>
      <c r="BV35" s="302"/>
      <c r="BW35" s="302"/>
      <c r="BX35" s="302"/>
      <c r="BY35" s="302"/>
      <c r="BZ35" s="302"/>
      <c r="CA35" s="302"/>
      <c r="CB35" s="302"/>
      <c r="CC35" s="302"/>
      <c r="CD35" s="302"/>
      <c r="CE35" s="302"/>
      <c r="CF35" s="302"/>
      <c r="CG35" s="302"/>
      <c r="CH35" s="302"/>
      <c r="CI35" s="302"/>
      <c r="CJ35" s="302"/>
      <c r="CK35" s="302"/>
      <c r="CL35" s="302"/>
      <c r="CM35" s="302"/>
      <c r="CN35" s="302"/>
      <c r="CO35" s="298"/>
      <c r="CP35" s="297"/>
      <c r="CQ35" s="302"/>
      <c r="CR35" s="302"/>
      <c r="CS35" s="305"/>
    </row>
    <row r="36" spans="1:97" s="147" customFormat="1" ht="13.5" customHeight="1">
      <c r="A36" s="289"/>
      <c r="B36" s="290"/>
      <c r="C36" s="291"/>
      <c r="D36" s="294"/>
      <c r="E36" s="290"/>
      <c r="F36" s="290"/>
      <c r="G36" s="290"/>
      <c r="H36" s="290"/>
      <c r="I36" s="290"/>
      <c r="J36" s="290"/>
      <c r="K36" s="290"/>
      <c r="L36" s="291"/>
      <c r="M36" s="299"/>
      <c r="N36" s="300"/>
      <c r="O36" s="299"/>
      <c r="P36" s="303"/>
      <c r="Q36" s="300"/>
      <c r="R36" s="299"/>
      <c r="S36" s="303"/>
      <c r="T36" s="300"/>
      <c r="U36" s="299"/>
      <c r="V36" s="303"/>
      <c r="W36" s="300"/>
      <c r="X36" s="299"/>
      <c r="Y36" s="303"/>
      <c r="Z36" s="303"/>
      <c r="AA36" s="303"/>
      <c r="AB36" s="300"/>
      <c r="AC36" s="299"/>
      <c r="AD36" s="303"/>
      <c r="AE36" s="303"/>
      <c r="AF36" s="303"/>
      <c r="AG36" s="300"/>
      <c r="AH36" s="299"/>
      <c r="AI36" s="300"/>
      <c r="AJ36" s="299"/>
      <c r="AK36" s="300"/>
      <c r="AL36" s="299"/>
      <c r="AM36" s="300"/>
      <c r="AN36" s="299"/>
      <c r="AO36" s="300"/>
      <c r="AP36" s="299"/>
      <c r="AQ36" s="300"/>
      <c r="AR36" s="299"/>
      <c r="AS36" s="300"/>
      <c r="AT36" s="299"/>
      <c r="AU36" s="300"/>
      <c r="AV36" s="299"/>
      <c r="AW36" s="300"/>
      <c r="AX36" s="299"/>
      <c r="AY36" s="300"/>
      <c r="AZ36" s="299"/>
      <c r="BA36" s="300"/>
      <c r="BB36" s="299"/>
      <c r="BC36" s="300"/>
      <c r="BD36" s="299"/>
      <c r="BE36" s="300"/>
      <c r="BF36" s="299"/>
      <c r="BG36" s="300"/>
      <c r="BH36" s="299"/>
      <c r="BI36" s="300"/>
      <c r="BJ36" s="299"/>
      <c r="BK36" s="300"/>
      <c r="BL36" s="299"/>
      <c r="BM36" s="300"/>
      <c r="BN36" s="299"/>
      <c r="BO36" s="303"/>
      <c r="BP36" s="303"/>
      <c r="BQ36" s="300"/>
      <c r="BR36" s="299"/>
      <c r="BS36" s="303"/>
      <c r="BT36" s="300"/>
      <c r="BU36" s="299"/>
      <c r="BV36" s="303"/>
      <c r="BW36" s="303"/>
      <c r="BX36" s="303"/>
      <c r="BY36" s="303"/>
      <c r="BZ36" s="303"/>
      <c r="CA36" s="303"/>
      <c r="CB36" s="303"/>
      <c r="CC36" s="303"/>
      <c r="CD36" s="303"/>
      <c r="CE36" s="303"/>
      <c r="CF36" s="303"/>
      <c r="CG36" s="303"/>
      <c r="CH36" s="303"/>
      <c r="CI36" s="303"/>
      <c r="CJ36" s="303"/>
      <c r="CK36" s="303"/>
      <c r="CL36" s="303"/>
      <c r="CM36" s="303"/>
      <c r="CN36" s="303"/>
      <c r="CO36" s="300"/>
      <c r="CP36" s="299"/>
      <c r="CQ36" s="303"/>
      <c r="CR36" s="303"/>
      <c r="CS36" s="306"/>
    </row>
    <row r="37" spans="1:97">
      <c r="A37" s="129"/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30"/>
      <c r="AK37" s="130"/>
      <c r="AL37" s="130"/>
      <c r="AM37" s="130"/>
      <c r="AN37" s="130"/>
      <c r="AO37" s="130"/>
      <c r="AP37" s="130"/>
      <c r="AQ37" s="130"/>
      <c r="AR37" s="130"/>
      <c r="AS37" s="130"/>
      <c r="AT37" s="130"/>
      <c r="AU37" s="131"/>
    </row>
    <row r="38" spans="1:97">
      <c r="A38" s="132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33"/>
    </row>
  </sheetData>
  <mergeCells count="231">
    <mergeCell ref="BR33:BT36"/>
    <mergeCell ref="BU33:CO36"/>
    <mergeCell ref="CP33:CS36"/>
    <mergeCell ref="BD33:BE36"/>
    <mergeCell ref="BF33:BG36"/>
    <mergeCell ref="BH33:BI36"/>
    <mergeCell ref="BJ33:BK36"/>
    <mergeCell ref="BL33:BM36"/>
    <mergeCell ref="BN33:BQ36"/>
    <mergeCell ref="AR33:AS36"/>
    <mergeCell ref="AT33:AU36"/>
    <mergeCell ref="AV33:AW36"/>
    <mergeCell ref="AX33:AY36"/>
    <mergeCell ref="AZ33:BA36"/>
    <mergeCell ref="BB33:BC36"/>
    <mergeCell ref="AC33:AG36"/>
    <mergeCell ref="AH33:AI36"/>
    <mergeCell ref="AJ33:AK36"/>
    <mergeCell ref="AL33:AM36"/>
    <mergeCell ref="AN33:AO36"/>
    <mergeCell ref="AP33:AQ36"/>
    <mergeCell ref="BR29:BT32"/>
    <mergeCell ref="BU29:CO32"/>
    <mergeCell ref="CP29:CS32"/>
    <mergeCell ref="A33:C36"/>
    <mergeCell ref="D33:L36"/>
    <mergeCell ref="M33:N36"/>
    <mergeCell ref="O33:Q36"/>
    <mergeCell ref="R33:T36"/>
    <mergeCell ref="U33:W36"/>
    <mergeCell ref="X33:AB36"/>
    <mergeCell ref="BD29:BE32"/>
    <mergeCell ref="BF29:BG32"/>
    <mergeCell ref="BH29:BI32"/>
    <mergeCell ref="BJ29:BK32"/>
    <mergeCell ref="BL29:BM32"/>
    <mergeCell ref="BN29:BQ32"/>
    <mergeCell ref="AR29:AS32"/>
    <mergeCell ref="AT29:AU32"/>
    <mergeCell ref="AV29:AW32"/>
    <mergeCell ref="AX29:AY32"/>
    <mergeCell ref="AZ29:BA32"/>
    <mergeCell ref="BB29:BC32"/>
    <mergeCell ref="AC29:AG32"/>
    <mergeCell ref="AH29:AI32"/>
    <mergeCell ref="AJ29:AK32"/>
    <mergeCell ref="AL29:AM32"/>
    <mergeCell ref="AN29:AO32"/>
    <mergeCell ref="AP29:AQ32"/>
    <mergeCell ref="BR25:BT28"/>
    <mergeCell ref="BU25:CO28"/>
    <mergeCell ref="CP25:CS28"/>
    <mergeCell ref="A29:C32"/>
    <mergeCell ref="D29:L32"/>
    <mergeCell ref="M29:N32"/>
    <mergeCell ref="O29:Q32"/>
    <mergeCell ref="R29:T32"/>
    <mergeCell ref="U29:W32"/>
    <mergeCell ref="X29:AB32"/>
    <mergeCell ref="BD25:BE28"/>
    <mergeCell ref="BF25:BG28"/>
    <mergeCell ref="BH25:BI28"/>
    <mergeCell ref="BJ25:BK28"/>
    <mergeCell ref="BL25:BM28"/>
    <mergeCell ref="BN25:BQ28"/>
    <mergeCell ref="AR25:AS28"/>
    <mergeCell ref="AT25:AU28"/>
    <mergeCell ref="AV25:AW28"/>
    <mergeCell ref="AX25:AY28"/>
    <mergeCell ref="AZ25:BA28"/>
    <mergeCell ref="BB25:BC28"/>
    <mergeCell ref="AC25:AG28"/>
    <mergeCell ref="AH25:AI28"/>
    <mergeCell ref="AJ25:AK28"/>
    <mergeCell ref="AL25:AM28"/>
    <mergeCell ref="AN25:AO28"/>
    <mergeCell ref="AP25:AQ28"/>
    <mergeCell ref="BR21:BT24"/>
    <mergeCell ref="AL21:AM24"/>
    <mergeCell ref="AN21:AO24"/>
    <mergeCell ref="AP21:AQ24"/>
    <mergeCell ref="BU21:CO24"/>
    <mergeCell ref="CP21:CS24"/>
    <mergeCell ref="A25:C28"/>
    <mergeCell ref="D25:L28"/>
    <mergeCell ref="M25:N28"/>
    <mergeCell ref="O25:Q28"/>
    <mergeCell ref="R25:T28"/>
    <mergeCell ref="U25:W28"/>
    <mergeCell ref="X25:AB28"/>
    <mergeCell ref="BD21:BE24"/>
    <mergeCell ref="BF21:BG24"/>
    <mergeCell ref="BH21:BI24"/>
    <mergeCell ref="BJ21:BK24"/>
    <mergeCell ref="BL21:BM24"/>
    <mergeCell ref="BN21:BQ24"/>
    <mergeCell ref="AR21:AS24"/>
    <mergeCell ref="AT21:AU24"/>
    <mergeCell ref="AV21:AW24"/>
    <mergeCell ref="AX21:AY24"/>
    <mergeCell ref="AZ21:BA24"/>
    <mergeCell ref="BB21:BC24"/>
    <mergeCell ref="AC21:AG24"/>
    <mergeCell ref="AH21:AI24"/>
    <mergeCell ref="AJ21:AK24"/>
    <mergeCell ref="BR17:BT20"/>
    <mergeCell ref="BU17:CO20"/>
    <mergeCell ref="CP17:CS20"/>
    <mergeCell ref="A21:C24"/>
    <mergeCell ref="D21:L24"/>
    <mergeCell ref="M21:N24"/>
    <mergeCell ref="O21:Q24"/>
    <mergeCell ref="R21:T24"/>
    <mergeCell ref="U21:W24"/>
    <mergeCell ref="X21:AB24"/>
    <mergeCell ref="BD17:BE20"/>
    <mergeCell ref="BF17:BG20"/>
    <mergeCell ref="BH17:BI20"/>
    <mergeCell ref="BJ17:BK20"/>
    <mergeCell ref="BL17:BM20"/>
    <mergeCell ref="BN17:BQ20"/>
    <mergeCell ref="AR17:AS20"/>
    <mergeCell ref="AT17:AU20"/>
    <mergeCell ref="AV17:AW20"/>
    <mergeCell ref="AX17:AY20"/>
    <mergeCell ref="AZ17:BA20"/>
    <mergeCell ref="BB17:BC20"/>
    <mergeCell ref="AC17:AG20"/>
    <mergeCell ref="AH17:AI20"/>
    <mergeCell ref="AJ17:AK20"/>
    <mergeCell ref="AL17:AM20"/>
    <mergeCell ref="AN17:AO20"/>
    <mergeCell ref="AP17:AQ20"/>
    <mergeCell ref="BR13:BT16"/>
    <mergeCell ref="BU13:CO16"/>
    <mergeCell ref="CP13:CS16"/>
    <mergeCell ref="A17:C20"/>
    <mergeCell ref="D17:L20"/>
    <mergeCell ref="M17:N20"/>
    <mergeCell ref="O17:Q20"/>
    <mergeCell ref="R17:T20"/>
    <mergeCell ref="U17:W20"/>
    <mergeCell ref="X17:AB20"/>
    <mergeCell ref="BD13:BE16"/>
    <mergeCell ref="BF13:BG16"/>
    <mergeCell ref="BH13:BI16"/>
    <mergeCell ref="BJ13:BK16"/>
    <mergeCell ref="BL13:BM16"/>
    <mergeCell ref="BN13:BQ16"/>
    <mergeCell ref="AR13:AS16"/>
    <mergeCell ref="AT13:AU16"/>
    <mergeCell ref="AV13:AW16"/>
    <mergeCell ref="AX13:AY16"/>
    <mergeCell ref="AZ13:BA16"/>
    <mergeCell ref="BB13:BC16"/>
    <mergeCell ref="AC13:AG16"/>
    <mergeCell ref="AH13:AI16"/>
    <mergeCell ref="AJ13:AK16"/>
    <mergeCell ref="AL13:AM16"/>
    <mergeCell ref="AN13:AO16"/>
    <mergeCell ref="AP13:AQ16"/>
    <mergeCell ref="BR9:BT12"/>
    <mergeCell ref="AL9:AM12"/>
    <mergeCell ref="AN9:AO12"/>
    <mergeCell ref="AP9:AQ12"/>
    <mergeCell ref="BU9:CO12"/>
    <mergeCell ref="CP9:CS12"/>
    <mergeCell ref="A13:C16"/>
    <mergeCell ref="D13:L16"/>
    <mergeCell ref="M13:N16"/>
    <mergeCell ref="O13:Q16"/>
    <mergeCell ref="R13:T16"/>
    <mergeCell ref="U13:W16"/>
    <mergeCell ref="X13:AB16"/>
    <mergeCell ref="BD9:BE12"/>
    <mergeCell ref="BF9:BG12"/>
    <mergeCell ref="BH9:BI12"/>
    <mergeCell ref="BJ9:BK12"/>
    <mergeCell ref="BL9:BM12"/>
    <mergeCell ref="BN9:BQ12"/>
    <mergeCell ref="AR9:AS12"/>
    <mergeCell ref="AT9:AU12"/>
    <mergeCell ref="AV9:AW12"/>
    <mergeCell ref="AX9:AY12"/>
    <mergeCell ref="AZ9:BA12"/>
    <mergeCell ref="BB9:BC12"/>
    <mergeCell ref="AC9:AG12"/>
    <mergeCell ref="AH9:AI12"/>
    <mergeCell ref="AJ9:AK12"/>
    <mergeCell ref="BB8:BC8"/>
    <mergeCell ref="BD8:BE8"/>
    <mergeCell ref="BF8:BG8"/>
    <mergeCell ref="AJ8:AK8"/>
    <mergeCell ref="AL8:AM8"/>
    <mergeCell ref="AN8:AO8"/>
    <mergeCell ref="AP8:AQ8"/>
    <mergeCell ref="AR8:AS8"/>
    <mergeCell ref="AT8:AU8"/>
    <mergeCell ref="A9:C12"/>
    <mergeCell ref="D9:L12"/>
    <mergeCell ref="M9:N12"/>
    <mergeCell ref="O9:Q12"/>
    <mergeCell ref="R9:T12"/>
    <mergeCell ref="U9:W12"/>
    <mergeCell ref="X9:AB12"/>
    <mergeCell ref="AV8:AW8"/>
    <mergeCell ref="AX8:AY8"/>
    <mergeCell ref="A3:Z4"/>
    <mergeCell ref="A5:C8"/>
    <mergeCell ref="D5:L8"/>
    <mergeCell ref="M5:BQ5"/>
    <mergeCell ref="BR5:CS5"/>
    <mergeCell ref="M6:N8"/>
    <mergeCell ref="O6:Q8"/>
    <mergeCell ref="R6:T8"/>
    <mergeCell ref="U6:W8"/>
    <mergeCell ref="X6:AG6"/>
    <mergeCell ref="AH6:BM6"/>
    <mergeCell ref="BN6:BQ8"/>
    <mergeCell ref="BR6:BT8"/>
    <mergeCell ref="BU6:CO8"/>
    <mergeCell ref="CP6:CS8"/>
    <mergeCell ref="X7:AB8"/>
    <mergeCell ref="AC7:AG8"/>
    <mergeCell ref="AH7:AU7"/>
    <mergeCell ref="AV7:BM7"/>
    <mergeCell ref="AH8:AI8"/>
    <mergeCell ref="BH8:BI8"/>
    <mergeCell ref="BJ8:BK8"/>
    <mergeCell ref="BL8:BM8"/>
    <mergeCell ref="AZ8:BA8"/>
  </mergeCells>
  <phoneticPr fontId="1"/>
  <pageMargins left="0.7" right="0.7" top="0.75" bottom="0.75" header="0.3" footer="0.3"/>
  <pageSetup paperSize="9" scale="58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9AB54-1BE5-43C1-B049-3FBB8B5385EC}">
  <sheetPr>
    <pageSetUpPr fitToPage="1"/>
  </sheetPr>
  <dimension ref="A1:BA29"/>
  <sheetViews>
    <sheetView showGridLines="0" zoomScale="70" zoomScaleNormal="70" zoomScaleSheetLayoutView="70" workbookViewId="0">
      <selection activeCell="I39" sqref="I39"/>
    </sheetView>
  </sheetViews>
  <sheetFormatPr defaultColWidth="3.625" defaultRowHeight="15.75"/>
  <cols>
    <col min="1" max="40" width="3.625" style="1"/>
    <col min="41" max="41" width="6.125" style="1" customWidth="1"/>
    <col min="42" max="42" width="3.875" style="1" customWidth="1"/>
    <col min="43" max="16384" width="3.625" style="1"/>
  </cols>
  <sheetData>
    <row r="1" spans="1:49" s="106" customFormat="1" ht="13.5" customHeight="1">
      <c r="O1" s="109" t="str">
        <f>更新履歴!K2</f>
        <v>2026.12.21</v>
      </c>
    </row>
    <row r="2" spans="1:49" s="106" customFormat="1" ht="13.5" customHeight="1" thickBot="1"/>
    <row r="3" spans="1:49" s="106" customFormat="1" ht="13.5" customHeight="1">
      <c r="A3" s="316" t="s">
        <v>171</v>
      </c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6"/>
      <c r="Q3" s="316"/>
      <c r="R3" s="316"/>
      <c r="S3" s="316"/>
      <c r="T3" s="316"/>
      <c r="U3" s="316"/>
      <c r="V3" s="316"/>
      <c r="W3" s="316"/>
      <c r="X3" s="316"/>
      <c r="Y3" s="316"/>
      <c r="Z3" s="316"/>
      <c r="AI3" s="107" t="s">
        <v>132</v>
      </c>
      <c r="AJ3" s="45"/>
      <c r="AK3" s="45"/>
      <c r="AL3" s="45"/>
      <c r="AM3" s="45"/>
      <c r="AN3" s="50"/>
      <c r="AO3" s="78" t="s">
        <v>168</v>
      </c>
      <c r="AP3" s="45"/>
      <c r="AQ3" s="45"/>
      <c r="AR3" s="45"/>
      <c r="AS3" s="45"/>
      <c r="AT3" s="45"/>
      <c r="AU3" s="45"/>
      <c r="AV3" s="45"/>
      <c r="AW3" s="46"/>
    </row>
    <row r="4" spans="1:49" s="106" customFormat="1" ht="13.5" customHeight="1">
      <c r="A4" s="316"/>
      <c r="B4" s="316"/>
      <c r="C4" s="316"/>
      <c r="D4" s="316"/>
      <c r="E4" s="316"/>
      <c r="F4" s="316"/>
      <c r="G4" s="316"/>
      <c r="H4" s="316"/>
      <c r="I4" s="316"/>
      <c r="J4" s="316"/>
      <c r="K4" s="316"/>
      <c r="L4" s="316"/>
      <c r="M4" s="316"/>
      <c r="N4" s="316"/>
      <c r="O4" s="316"/>
      <c r="P4" s="316"/>
      <c r="Q4" s="316"/>
      <c r="R4" s="316"/>
      <c r="S4" s="316"/>
      <c r="T4" s="316"/>
      <c r="U4" s="316"/>
      <c r="V4" s="316"/>
      <c r="W4" s="316"/>
      <c r="X4" s="316"/>
      <c r="Y4" s="316"/>
      <c r="Z4" s="316"/>
      <c r="AI4" s="108" t="s">
        <v>133</v>
      </c>
      <c r="AJ4" s="51"/>
      <c r="AK4" s="51"/>
      <c r="AL4" s="51"/>
      <c r="AM4" s="51"/>
      <c r="AN4" s="52"/>
      <c r="AO4" s="47" t="s">
        <v>172</v>
      </c>
      <c r="AP4" s="48"/>
      <c r="AQ4" s="48"/>
      <c r="AR4" s="48"/>
      <c r="AS4" s="48"/>
      <c r="AT4" s="48"/>
      <c r="AU4" s="48"/>
      <c r="AV4" s="48"/>
      <c r="AW4" s="49"/>
    </row>
    <row r="5" spans="1:49" s="10" customFormat="1" ht="14.25">
      <c r="A5" s="33" t="s">
        <v>68</v>
      </c>
      <c r="B5" s="33" t="s">
        <v>36</v>
      </c>
      <c r="C5" s="34"/>
      <c r="D5" s="34"/>
      <c r="E5" s="34"/>
      <c r="F5" s="34"/>
      <c r="G5" s="35"/>
      <c r="H5" s="33" t="s">
        <v>69</v>
      </c>
      <c r="I5" s="34"/>
      <c r="J5" s="34"/>
      <c r="K5" s="34"/>
      <c r="L5" s="34"/>
      <c r="M5" s="34"/>
      <c r="N5" s="34"/>
      <c r="O5" s="35"/>
      <c r="P5" s="33" t="s">
        <v>70</v>
      </c>
      <c r="Q5" s="36"/>
      <c r="R5" s="34"/>
      <c r="S5" s="34"/>
      <c r="T5" s="34"/>
      <c r="U5" s="36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5"/>
    </row>
    <row r="6" spans="1:49" s="10" customFormat="1" ht="14.25">
      <c r="A6" s="37">
        <v>1</v>
      </c>
      <c r="B6" s="37" t="s">
        <v>71</v>
      </c>
      <c r="C6" s="38"/>
      <c r="D6" s="38"/>
      <c r="E6" s="38"/>
      <c r="F6" s="38"/>
      <c r="G6" s="39"/>
      <c r="H6" s="37" t="s">
        <v>72</v>
      </c>
      <c r="I6" s="38"/>
      <c r="J6" s="38"/>
      <c r="K6" s="38"/>
      <c r="L6" s="38"/>
      <c r="M6" s="38"/>
      <c r="N6" s="38"/>
      <c r="O6" s="39"/>
      <c r="P6" s="37" t="s">
        <v>73</v>
      </c>
      <c r="Q6" s="40"/>
      <c r="R6" s="38"/>
      <c r="S6" s="38"/>
      <c r="T6" s="38"/>
      <c r="U6" s="40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9"/>
    </row>
    <row r="7" spans="1:49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4"/>
    </row>
    <row r="8" spans="1:49" s="10" customFormat="1" ht="14.25">
      <c r="A8" s="18"/>
      <c r="B8" s="10" t="s">
        <v>74</v>
      </c>
      <c r="AW8" s="14"/>
    </row>
    <row r="9" spans="1:49" s="10" customFormat="1" ht="14.25">
      <c r="A9" s="18"/>
      <c r="AW9" s="14"/>
    </row>
    <row r="10" spans="1:49" s="10" customFormat="1" ht="14.25">
      <c r="A10" s="18"/>
      <c r="C10" s="15" t="s">
        <v>31</v>
      </c>
      <c r="D10" s="16"/>
      <c r="E10" s="16"/>
      <c r="F10" s="16"/>
      <c r="G10" s="16"/>
      <c r="H10" s="16"/>
      <c r="I10" s="16"/>
      <c r="J10" s="16"/>
      <c r="K10" s="16"/>
      <c r="L10" s="17"/>
      <c r="M10" s="15" t="s">
        <v>75</v>
      </c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7"/>
      <c r="AB10" s="15" t="s">
        <v>32</v>
      </c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7"/>
      <c r="AW10" s="14"/>
    </row>
    <row r="11" spans="1:49" s="10" customFormat="1" ht="15.75" customHeight="1">
      <c r="A11" s="18"/>
      <c r="C11" s="11" t="s">
        <v>76</v>
      </c>
      <c r="D11" s="12"/>
      <c r="E11" s="12"/>
      <c r="F11" s="12"/>
      <c r="G11" s="12"/>
      <c r="H11" s="12"/>
      <c r="I11" s="12"/>
      <c r="J11" s="12"/>
      <c r="K11" s="12"/>
      <c r="L11" s="13"/>
      <c r="M11" s="11" t="s">
        <v>77</v>
      </c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3"/>
      <c r="AB11" s="313" t="s">
        <v>78</v>
      </c>
      <c r="AC11" s="314"/>
      <c r="AD11" s="314"/>
      <c r="AE11" s="314"/>
      <c r="AF11" s="314"/>
      <c r="AG11" s="314"/>
      <c r="AH11" s="314"/>
      <c r="AI11" s="314"/>
      <c r="AJ11" s="314"/>
      <c r="AK11" s="314"/>
      <c r="AL11" s="314"/>
      <c r="AM11" s="314"/>
      <c r="AN11" s="314"/>
      <c r="AO11" s="314"/>
      <c r="AP11" s="314"/>
      <c r="AQ11" s="314"/>
      <c r="AR11" s="314"/>
      <c r="AS11" s="314"/>
      <c r="AT11" s="314"/>
      <c r="AU11" s="314"/>
      <c r="AV11" s="315"/>
      <c r="AW11" s="14"/>
    </row>
    <row r="12" spans="1:49">
      <c r="A12" s="8"/>
      <c r="B12" s="10"/>
      <c r="AW12" s="9"/>
    </row>
    <row r="13" spans="1:49">
      <c r="A13" s="8"/>
      <c r="B13" s="10" t="s">
        <v>79</v>
      </c>
      <c r="AW13" s="9"/>
    </row>
    <row r="14" spans="1:49">
      <c r="A14" s="8"/>
      <c r="AW14" s="9"/>
    </row>
    <row r="15" spans="1:49">
      <c r="A15" s="8"/>
      <c r="C15" s="1" t="s">
        <v>80</v>
      </c>
      <c r="AW15" s="9"/>
    </row>
    <row r="16" spans="1:49">
      <c r="A16" s="8"/>
      <c r="AW16" s="9"/>
    </row>
    <row r="17" spans="1:53">
      <c r="A17" s="8"/>
      <c r="C17" s="307" t="s">
        <v>81</v>
      </c>
      <c r="D17" s="308"/>
      <c r="E17" s="308"/>
      <c r="F17" s="308"/>
      <c r="G17" s="308"/>
      <c r="H17" s="309"/>
      <c r="I17" s="307" t="s">
        <v>82</v>
      </c>
      <c r="J17" s="308"/>
      <c r="K17" s="309"/>
      <c r="L17" s="20" t="s">
        <v>83</v>
      </c>
      <c r="M17" s="21"/>
      <c r="N17" s="22"/>
      <c r="O17" s="20" t="s">
        <v>84</v>
      </c>
      <c r="P17" s="21"/>
      <c r="Q17" s="22"/>
      <c r="R17" s="20" t="s">
        <v>85</v>
      </c>
      <c r="S17" s="21"/>
      <c r="T17" s="22"/>
      <c r="U17" s="20" t="s">
        <v>86</v>
      </c>
      <c r="V17" s="21"/>
      <c r="W17" s="22"/>
      <c r="X17" s="20" t="s">
        <v>87</v>
      </c>
      <c r="Y17" s="21"/>
      <c r="Z17" s="22"/>
      <c r="AA17" s="20" t="s">
        <v>88</v>
      </c>
      <c r="AB17" s="21"/>
      <c r="AC17" s="22"/>
      <c r="AD17" s="310" t="s">
        <v>89</v>
      </c>
      <c r="AE17" s="311"/>
      <c r="AF17" s="312"/>
      <c r="AG17" s="20" t="s">
        <v>90</v>
      </c>
      <c r="AH17" s="21"/>
      <c r="AI17" s="22"/>
      <c r="AJ17" s="20" t="s">
        <v>91</v>
      </c>
      <c r="AK17" s="21"/>
      <c r="AL17" s="22"/>
      <c r="AM17" s="20" t="s">
        <v>92</v>
      </c>
      <c r="AN17" s="21"/>
      <c r="AO17" s="22"/>
      <c r="AW17" s="9"/>
    </row>
    <row r="18" spans="1:53">
      <c r="A18" s="8"/>
      <c r="C18" s="11" t="s">
        <v>46</v>
      </c>
      <c r="D18" s="12"/>
      <c r="E18" s="12"/>
      <c r="F18" s="12"/>
      <c r="G18" s="12"/>
      <c r="H18" s="12"/>
      <c r="I18" s="26" t="s">
        <v>93</v>
      </c>
      <c r="J18" s="24"/>
      <c r="K18" s="25"/>
      <c r="L18" s="26" t="s">
        <v>94</v>
      </c>
      <c r="M18" s="24"/>
      <c r="N18" s="25"/>
      <c r="O18" s="26" t="s">
        <v>94</v>
      </c>
      <c r="P18" s="24"/>
      <c r="Q18" s="25"/>
      <c r="R18" s="26" t="s">
        <v>94</v>
      </c>
      <c r="S18" s="24"/>
      <c r="T18" s="25"/>
      <c r="U18" s="26" t="s">
        <v>94</v>
      </c>
      <c r="V18" s="24"/>
      <c r="W18" s="25"/>
      <c r="X18" s="26" t="s">
        <v>94</v>
      </c>
      <c r="Y18" s="24"/>
      <c r="Z18" s="25"/>
      <c r="AA18" s="26" t="s">
        <v>94</v>
      </c>
      <c r="AB18" s="24"/>
      <c r="AC18" s="25"/>
      <c r="AD18" s="26" t="s">
        <v>94</v>
      </c>
      <c r="AE18" s="24"/>
      <c r="AF18" s="25"/>
      <c r="AG18" s="26" t="s">
        <v>94</v>
      </c>
      <c r="AH18" s="24"/>
      <c r="AI18" s="25"/>
      <c r="AJ18" s="26" t="s">
        <v>94</v>
      </c>
      <c r="AK18" s="24"/>
      <c r="AL18" s="25"/>
      <c r="AM18" s="26" t="s">
        <v>94</v>
      </c>
      <c r="AN18" s="24"/>
      <c r="AO18" s="25"/>
      <c r="AW18" s="9"/>
    </row>
    <row r="19" spans="1:53">
      <c r="A19" s="8"/>
      <c r="C19" s="11" t="s">
        <v>49</v>
      </c>
      <c r="D19" s="12"/>
      <c r="E19" s="12"/>
      <c r="F19" s="12"/>
      <c r="G19" s="12"/>
      <c r="H19" s="12"/>
      <c r="I19" s="26" t="s">
        <v>95</v>
      </c>
      <c r="J19" s="24"/>
      <c r="K19" s="25"/>
      <c r="L19" s="26" t="s">
        <v>94</v>
      </c>
      <c r="M19" s="24"/>
      <c r="N19" s="25"/>
      <c r="O19" s="26" t="s">
        <v>94</v>
      </c>
      <c r="P19" s="24"/>
      <c r="Q19" s="25"/>
      <c r="R19" s="26" t="s">
        <v>94</v>
      </c>
      <c r="S19" s="24"/>
      <c r="T19" s="25"/>
      <c r="U19" s="26" t="s">
        <v>94</v>
      </c>
      <c r="V19" s="24"/>
      <c r="W19" s="25"/>
      <c r="X19" s="26" t="s">
        <v>94</v>
      </c>
      <c r="Y19" s="24"/>
      <c r="Z19" s="25"/>
      <c r="AA19" s="26" t="s">
        <v>94</v>
      </c>
      <c r="AB19" s="24"/>
      <c r="AC19" s="25"/>
      <c r="AD19" s="26" t="s">
        <v>94</v>
      </c>
      <c r="AE19" s="24"/>
      <c r="AF19" s="25"/>
      <c r="AG19" s="26" t="s">
        <v>94</v>
      </c>
      <c r="AH19" s="24"/>
      <c r="AI19" s="25"/>
      <c r="AJ19" s="26" t="s">
        <v>94</v>
      </c>
      <c r="AK19" s="24"/>
      <c r="AL19" s="25"/>
      <c r="AM19" s="26" t="s">
        <v>96</v>
      </c>
      <c r="AN19" s="24"/>
      <c r="AO19" s="25"/>
      <c r="AW19" s="9"/>
    </row>
    <row r="20" spans="1:53">
      <c r="A20" s="8"/>
      <c r="C20" s="11" t="s">
        <v>53</v>
      </c>
      <c r="D20" s="12"/>
      <c r="E20" s="12"/>
      <c r="F20" s="12"/>
      <c r="G20" s="12"/>
      <c r="H20" s="12"/>
      <c r="I20" s="26" t="s">
        <v>97</v>
      </c>
      <c r="J20" s="24"/>
      <c r="K20" s="25"/>
      <c r="L20" s="26" t="s">
        <v>94</v>
      </c>
      <c r="M20" s="24"/>
      <c r="N20" s="25"/>
      <c r="O20" s="26" t="s">
        <v>94</v>
      </c>
      <c r="P20" s="24"/>
      <c r="Q20" s="25"/>
      <c r="R20" s="26" t="s">
        <v>94</v>
      </c>
      <c r="S20" s="24"/>
      <c r="T20" s="25"/>
      <c r="U20" s="26" t="s">
        <v>94</v>
      </c>
      <c r="V20" s="24"/>
      <c r="W20" s="25"/>
      <c r="X20" s="26" t="s">
        <v>94</v>
      </c>
      <c r="Y20" s="24"/>
      <c r="Z20" s="25"/>
      <c r="AA20" s="26" t="s">
        <v>94</v>
      </c>
      <c r="AB20" s="24"/>
      <c r="AC20" s="25"/>
      <c r="AD20" s="26" t="s">
        <v>94</v>
      </c>
      <c r="AE20" s="24"/>
      <c r="AF20" s="25"/>
      <c r="AG20" s="26" t="s">
        <v>94</v>
      </c>
      <c r="AH20" s="24"/>
      <c r="AI20" s="25"/>
      <c r="AJ20" s="26" t="s">
        <v>94</v>
      </c>
      <c r="AK20" s="24"/>
      <c r="AL20" s="25"/>
      <c r="AM20" s="26" t="s">
        <v>94</v>
      </c>
      <c r="AN20" s="24"/>
      <c r="AO20" s="25"/>
      <c r="AW20" s="9"/>
    </row>
    <row r="21" spans="1:53">
      <c r="A21" s="8"/>
      <c r="C21" s="11" t="s">
        <v>58</v>
      </c>
      <c r="D21" s="12"/>
      <c r="E21" s="12"/>
      <c r="F21" s="12"/>
      <c r="G21" s="12"/>
      <c r="H21" s="12"/>
      <c r="I21" s="26" t="s">
        <v>98</v>
      </c>
      <c r="J21" s="24"/>
      <c r="K21" s="25"/>
      <c r="L21" s="26" t="s">
        <v>94</v>
      </c>
      <c r="M21" s="24"/>
      <c r="N21" s="25"/>
      <c r="O21" s="26" t="s">
        <v>94</v>
      </c>
      <c r="P21" s="24"/>
      <c r="Q21" s="25"/>
      <c r="R21" s="26" t="s">
        <v>96</v>
      </c>
      <c r="S21" s="24"/>
      <c r="T21" s="25"/>
      <c r="U21" s="26" t="s">
        <v>96</v>
      </c>
      <c r="V21" s="24"/>
      <c r="W21" s="25"/>
      <c r="X21" s="26" t="s">
        <v>96</v>
      </c>
      <c r="Y21" s="24"/>
      <c r="Z21" s="25"/>
      <c r="AA21" s="26" t="s">
        <v>96</v>
      </c>
      <c r="AB21" s="24"/>
      <c r="AC21" s="25"/>
      <c r="AD21" s="26" t="s">
        <v>96</v>
      </c>
      <c r="AE21" s="24"/>
      <c r="AF21" s="25"/>
      <c r="AG21" s="26" t="s">
        <v>96</v>
      </c>
      <c r="AH21" s="24"/>
      <c r="AI21" s="25"/>
      <c r="AJ21" s="26" t="s">
        <v>96</v>
      </c>
      <c r="AK21" s="24"/>
      <c r="AL21" s="25"/>
      <c r="AM21" s="26" t="s">
        <v>96</v>
      </c>
      <c r="AN21" s="24"/>
      <c r="AO21" s="25"/>
      <c r="AW21" s="9"/>
    </row>
    <row r="22" spans="1:53">
      <c r="A22" s="8"/>
      <c r="C22" s="11" t="s">
        <v>61</v>
      </c>
      <c r="D22" s="12"/>
      <c r="E22" s="12"/>
      <c r="F22" s="12"/>
      <c r="G22" s="12"/>
      <c r="H22" s="12"/>
      <c r="I22" s="26" t="s">
        <v>99</v>
      </c>
      <c r="J22" s="24"/>
      <c r="K22" s="25"/>
      <c r="L22" s="26" t="s">
        <v>94</v>
      </c>
      <c r="M22" s="24"/>
      <c r="N22" s="25"/>
      <c r="O22" s="26" t="s">
        <v>96</v>
      </c>
      <c r="P22" s="24"/>
      <c r="Q22" s="25"/>
      <c r="R22" s="26" t="s">
        <v>96</v>
      </c>
      <c r="S22" s="24"/>
      <c r="T22" s="25"/>
      <c r="U22" s="26" t="s">
        <v>96</v>
      </c>
      <c r="V22" s="24"/>
      <c r="W22" s="25"/>
      <c r="X22" s="26" t="s">
        <v>96</v>
      </c>
      <c r="Y22" s="24"/>
      <c r="Z22" s="25"/>
      <c r="AA22" s="26" t="s">
        <v>96</v>
      </c>
      <c r="AB22" s="24"/>
      <c r="AC22" s="25"/>
      <c r="AD22" s="26" t="s">
        <v>96</v>
      </c>
      <c r="AE22" s="24"/>
      <c r="AF22" s="25"/>
      <c r="AG22" s="26" t="s">
        <v>96</v>
      </c>
      <c r="AH22" s="24"/>
      <c r="AI22" s="25"/>
      <c r="AJ22" s="26" t="s">
        <v>96</v>
      </c>
      <c r="AK22" s="24"/>
      <c r="AL22" s="25"/>
      <c r="AM22" s="26" t="s">
        <v>96</v>
      </c>
      <c r="AN22" s="24"/>
      <c r="AO22" s="25"/>
      <c r="AW22" s="9"/>
    </row>
    <row r="23" spans="1:53">
      <c r="A23" s="8"/>
      <c r="C23" s="11" t="s">
        <v>63</v>
      </c>
      <c r="D23" s="12"/>
      <c r="E23" s="12"/>
      <c r="F23" s="12"/>
      <c r="G23" s="12"/>
      <c r="H23" s="12"/>
      <c r="I23" s="26" t="s">
        <v>100</v>
      </c>
      <c r="J23" s="24"/>
      <c r="K23" s="25"/>
      <c r="L23" s="26" t="s">
        <v>94</v>
      </c>
      <c r="M23" s="24"/>
      <c r="N23" s="25"/>
      <c r="O23" s="26" t="s">
        <v>94</v>
      </c>
      <c r="P23" s="24"/>
      <c r="Q23" s="25"/>
      <c r="R23" s="26" t="s">
        <v>96</v>
      </c>
      <c r="S23" s="24"/>
      <c r="T23" s="25"/>
      <c r="U23" s="26" t="s">
        <v>96</v>
      </c>
      <c r="V23" s="24"/>
      <c r="W23" s="25"/>
      <c r="X23" s="26" t="s">
        <v>96</v>
      </c>
      <c r="Y23" s="24"/>
      <c r="Z23" s="25"/>
      <c r="AA23" s="26" t="s">
        <v>96</v>
      </c>
      <c r="AB23" s="24"/>
      <c r="AC23" s="25"/>
      <c r="AD23" s="26" t="s">
        <v>96</v>
      </c>
      <c r="AE23" s="24"/>
      <c r="AF23" s="25"/>
      <c r="AG23" s="26" t="s">
        <v>96</v>
      </c>
      <c r="AH23" s="24"/>
      <c r="AI23" s="25"/>
      <c r="AJ23" s="26" t="s">
        <v>96</v>
      </c>
      <c r="AK23" s="24"/>
      <c r="AL23" s="25"/>
      <c r="AM23" s="26" t="s">
        <v>96</v>
      </c>
      <c r="AN23" s="24"/>
      <c r="AO23" s="25"/>
      <c r="AW23" s="9"/>
    </row>
    <row r="24" spans="1:53">
      <c r="A24" s="8"/>
      <c r="C24" s="11" t="s">
        <v>66</v>
      </c>
      <c r="D24" s="12"/>
      <c r="E24" s="12"/>
      <c r="F24" s="12"/>
      <c r="G24" s="12"/>
      <c r="H24" s="12"/>
      <c r="I24" s="26" t="s">
        <v>101</v>
      </c>
      <c r="J24" s="24"/>
      <c r="K24" s="25"/>
      <c r="L24" s="26" t="s">
        <v>94</v>
      </c>
      <c r="M24" s="24"/>
      <c r="N24" s="25"/>
      <c r="O24" s="26" t="s">
        <v>96</v>
      </c>
      <c r="P24" s="24"/>
      <c r="Q24" s="25"/>
      <c r="R24" s="26" t="s">
        <v>94</v>
      </c>
      <c r="S24" s="24"/>
      <c r="T24" s="25"/>
      <c r="U24" s="26" t="s">
        <v>96</v>
      </c>
      <c r="V24" s="24"/>
      <c r="W24" s="25"/>
      <c r="X24" s="26" t="s">
        <v>96</v>
      </c>
      <c r="Y24" s="24"/>
      <c r="Z24" s="25"/>
      <c r="AA24" s="26" t="s">
        <v>96</v>
      </c>
      <c r="AB24" s="24"/>
      <c r="AC24" s="25"/>
      <c r="AD24" s="26" t="s">
        <v>96</v>
      </c>
      <c r="AE24" s="24"/>
      <c r="AF24" s="25"/>
      <c r="AG24" s="26" t="s">
        <v>96</v>
      </c>
      <c r="AH24" s="24"/>
      <c r="AI24" s="25"/>
      <c r="AJ24" s="26" t="s">
        <v>96</v>
      </c>
      <c r="AK24" s="24"/>
      <c r="AL24" s="25"/>
      <c r="AM24" s="26" t="s">
        <v>96</v>
      </c>
      <c r="AN24" s="24"/>
      <c r="AO24" s="25"/>
      <c r="AP24" s="10"/>
      <c r="AT24" s="10"/>
      <c r="AU24" s="10"/>
      <c r="AV24" s="10"/>
      <c r="AW24" s="9"/>
      <c r="AX24" s="10"/>
      <c r="AY24" s="10"/>
      <c r="AZ24" s="10"/>
      <c r="BA24" s="10"/>
    </row>
    <row r="25" spans="1:53">
      <c r="A25" s="8"/>
      <c r="C25" s="11" t="s">
        <v>67</v>
      </c>
      <c r="D25" s="12"/>
      <c r="E25" s="12"/>
      <c r="F25" s="12"/>
      <c r="G25" s="12"/>
      <c r="H25" s="12"/>
      <c r="I25" s="26" t="s">
        <v>102</v>
      </c>
      <c r="J25" s="24"/>
      <c r="K25" s="25"/>
      <c r="L25" s="26" t="s">
        <v>94</v>
      </c>
      <c r="M25" s="24"/>
      <c r="N25" s="25"/>
      <c r="O25" s="26" t="s">
        <v>96</v>
      </c>
      <c r="P25" s="24"/>
      <c r="Q25" s="25"/>
      <c r="R25" s="26" t="s">
        <v>94</v>
      </c>
      <c r="S25" s="24"/>
      <c r="T25" s="25"/>
      <c r="U25" s="26" t="s">
        <v>96</v>
      </c>
      <c r="V25" s="24"/>
      <c r="W25" s="25"/>
      <c r="X25" s="26" t="s">
        <v>96</v>
      </c>
      <c r="Y25" s="24"/>
      <c r="Z25" s="25"/>
      <c r="AA25" s="26" t="s">
        <v>96</v>
      </c>
      <c r="AB25" s="24"/>
      <c r="AC25" s="25"/>
      <c r="AD25" s="26" t="s">
        <v>96</v>
      </c>
      <c r="AE25" s="24"/>
      <c r="AF25" s="25"/>
      <c r="AG25" s="26" t="s">
        <v>96</v>
      </c>
      <c r="AH25" s="24"/>
      <c r="AI25" s="25"/>
      <c r="AJ25" s="26" t="s">
        <v>96</v>
      </c>
      <c r="AK25" s="24"/>
      <c r="AL25" s="25"/>
      <c r="AM25" s="26" t="s">
        <v>96</v>
      </c>
      <c r="AN25" s="24"/>
      <c r="AO25" s="25"/>
      <c r="AP25" s="23"/>
      <c r="AQ25" s="23"/>
      <c r="AR25" s="23"/>
      <c r="AS25" s="23"/>
      <c r="AT25" s="23"/>
      <c r="AU25" s="23"/>
      <c r="AV25" s="23"/>
      <c r="AW25" s="9"/>
    </row>
    <row r="26" spans="1:53" ht="18.75" customHeight="1">
      <c r="A26" s="8"/>
      <c r="C26" s="28" t="s">
        <v>54</v>
      </c>
      <c r="D26" s="29"/>
      <c r="E26" s="29"/>
      <c r="F26" s="29"/>
      <c r="G26" s="29"/>
      <c r="H26" s="29"/>
      <c r="I26" s="32" t="s">
        <v>103</v>
      </c>
      <c r="J26" s="30"/>
      <c r="K26" s="31"/>
      <c r="L26" s="32" t="s">
        <v>94</v>
      </c>
      <c r="M26" s="30"/>
      <c r="N26" s="31"/>
      <c r="O26" s="32" t="s">
        <v>96</v>
      </c>
      <c r="P26" s="30"/>
      <c r="Q26" s="31"/>
      <c r="R26" s="32" t="s">
        <v>96</v>
      </c>
      <c r="S26" s="30"/>
      <c r="T26" s="31"/>
      <c r="U26" s="32" t="s">
        <v>96</v>
      </c>
      <c r="V26" s="30"/>
      <c r="W26" s="31"/>
      <c r="X26" s="32" t="s">
        <v>96</v>
      </c>
      <c r="Y26" s="30"/>
      <c r="Z26" s="31"/>
      <c r="AA26" s="32" t="s">
        <v>94</v>
      </c>
      <c r="AB26" s="30"/>
      <c r="AC26" s="31"/>
      <c r="AD26" s="32" t="s">
        <v>96</v>
      </c>
      <c r="AE26" s="30"/>
      <c r="AF26" s="31"/>
      <c r="AG26" s="32" t="s">
        <v>96</v>
      </c>
      <c r="AH26" s="30"/>
      <c r="AI26" s="31"/>
      <c r="AJ26" s="32" t="s">
        <v>96</v>
      </c>
      <c r="AK26" s="30"/>
      <c r="AL26" s="31"/>
      <c r="AM26" s="32" t="s">
        <v>96</v>
      </c>
      <c r="AN26" s="30"/>
      <c r="AO26" s="31"/>
      <c r="AP26" s="27"/>
      <c r="AQ26" s="27"/>
      <c r="AR26" s="27"/>
      <c r="AS26" s="27"/>
      <c r="AT26" s="27"/>
      <c r="AU26" s="27"/>
      <c r="AV26" s="27"/>
      <c r="AW26" s="9"/>
    </row>
    <row r="27" spans="1:53">
      <c r="A27" s="8"/>
      <c r="C27" s="28" t="s">
        <v>55</v>
      </c>
      <c r="D27" s="29"/>
      <c r="E27" s="29"/>
      <c r="F27" s="29"/>
      <c r="G27" s="29"/>
      <c r="H27" s="29"/>
      <c r="I27" s="32" t="s">
        <v>104</v>
      </c>
      <c r="J27" s="30"/>
      <c r="K27" s="31"/>
      <c r="L27" s="32" t="s">
        <v>94</v>
      </c>
      <c r="M27" s="30"/>
      <c r="N27" s="31"/>
      <c r="O27" s="32" t="s">
        <v>96</v>
      </c>
      <c r="P27" s="30"/>
      <c r="Q27" s="31"/>
      <c r="R27" s="32" t="s">
        <v>94</v>
      </c>
      <c r="S27" s="30"/>
      <c r="T27" s="31"/>
      <c r="U27" s="32" t="s">
        <v>94</v>
      </c>
      <c r="V27" s="30"/>
      <c r="W27" s="31"/>
      <c r="X27" s="32" t="s">
        <v>96</v>
      </c>
      <c r="Y27" s="30"/>
      <c r="Z27" s="31"/>
      <c r="AA27" s="32" t="s">
        <v>96</v>
      </c>
      <c r="AB27" s="30"/>
      <c r="AC27" s="31"/>
      <c r="AD27" s="32" t="s">
        <v>96</v>
      </c>
      <c r="AE27" s="30"/>
      <c r="AF27" s="31"/>
      <c r="AG27" s="32" t="s">
        <v>96</v>
      </c>
      <c r="AH27" s="30"/>
      <c r="AI27" s="31"/>
      <c r="AJ27" s="32" t="s">
        <v>96</v>
      </c>
      <c r="AK27" s="30"/>
      <c r="AL27" s="31"/>
      <c r="AM27" s="32" t="s">
        <v>96</v>
      </c>
      <c r="AN27" s="30"/>
      <c r="AO27" s="31"/>
      <c r="AP27" s="23"/>
      <c r="AQ27" s="23"/>
      <c r="AR27" s="23"/>
      <c r="AS27" s="23"/>
      <c r="AT27" s="23"/>
      <c r="AU27" s="23"/>
      <c r="AV27" s="23"/>
      <c r="AW27" s="9"/>
    </row>
    <row r="28" spans="1:53">
      <c r="A28" s="8"/>
      <c r="AW28" s="9"/>
    </row>
    <row r="29" spans="1:53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7"/>
    </row>
  </sheetData>
  <mergeCells count="5">
    <mergeCell ref="C17:H17"/>
    <mergeCell ref="I17:K17"/>
    <mergeCell ref="AD17:AF17"/>
    <mergeCell ref="AB11:AV11"/>
    <mergeCell ref="A3:Z4"/>
  </mergeCells>
  <phoneticPr fontId="1"/>
  <pageMargins left="0.7" right="0.7" top="0.75" bottom="0.75" header="0.3" footer="0.3"/>
  <pageSetup paperSize="9" scale="66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9826F-C44B-4111-BB51-9340DE705807}">
  <dimension ref="A2:G28"/>
  <sheetViews>
    <sheetView tabSelected="1" zoomScale="70" zoomScaleNormal="70" workbookViewId="0">
      <selection activeCell="H16" sqref="H16"/>
    </sheetView>
  </sheetViews>
  <sheetFormatPr defaultColWidth="20.5" defaultRowHeight="18.75"/>
  <cols>
    <col min="1" max="1" width="16.875" bestFit="1" customWidth="1"/>
    <col min="2" max="2" width="13" bestFit="1" customWidth="1"/>
    <col min="3" max="3" width="12.875" bestFit="1" customWidth="1"/>
    <col min="4" max="4" width="24" bestFit="1" customWidth="1"/>
    <col min="5" max="5" width="10.25" bestFit="1" customWidth="1"/>
    <col min="6" max="6" width="15.875" bestFit="1" customWidth="1"/>
    <col min="7" max="7" width="10.875" bestFit="1" customWidth="1"/>
  </cols>
  <sheetData>
    <row r="2" spans="1:7">
      <c r="A2" s="44" t="s">
        <v>208</v>
      </c>
    </row>
    <row r="3" spans="1:7">
      <c r="A3" s="44" t="s">
        <v>166</v>
      </c>
    </row>
    <row r="4" spans="1:7">
      <c r="A4" s="41" t="s">
        <v>105</v>
      </c>
      <c r="B4" s="41" t="s">
        <v>106</v>
      </c>
      <c r="C4" s="41" t="s">
        <v>107</v>
      </c>
      <c r="D4" s="41" t="s">
        <v>108</v>
      </c>
      <c r="E4" s="41" t="s">
        <v>109</v>
      </c>
      <c r="F4" s="41" t="s">
        <v>110</v>
      </c>
      <c r="G4" s="41" t="s">
        <v>111</v>
      </c>
    </row>
    <row r="5" spans="1:7">
      <c r="A5" s="42" t="s">
        <v>112</v>
      </c>
      <c r="B5" s="42" t="s">
        <v>113</v>
      </c>
      <c r="C5" s="42" t="s">
        <v>118</v>
      </c>
      <c r="D5" s="42" t="s">
        <v>54</v>
      </c>
      <c r="E5" s="42" t="s">
        <v>114</v>
      </c>
      <c r="F5" s="42" t="s">
        <v>117</v>
      </c>
      <c r="G5" s="43" t="b">
        <v>0</v>
      </c>
    </row>
    <row r="6" spans="1:7">
      <c r="A6" s="42" t="s">
        <v>112</v>
      </c>
      <c r="B6" s="42" t="s">
        <v>113</v>
      </c>
      <c r="C6" s="42" t="s">
        <v>118</v>
      </c>
      <c r="D6" s="42" t="s">
        <v>54</v>
      </c>
      <c r="E6" s="42" t="s">
        <v>116</v>
      </c>
      <c r="F6" s="42" t="s">
        <v>122</v>
      </c>
      <c r="G6" s="43" t="b">
        <v>0</v>
      </c>
    </row>
    <row r="7" spans="1:7">
      <c r="A7" s="42" t="s">
        <v>119</v>
      </c>
      <c r="B7" s="42" t="s">
        <v>120</v>
      </c>
      <c r="C7" s="42" t="s">
        <v>118</v>
      </c>
      <c r="D7" s="42" t="s">
        <v>54</v>
      </c>
      <c r="E7" s="42" t="s">
        <v>121</v>
      </c>
      <c r="F7" s="42" t="s">
        <v>122</v>
      </c>
      <c r="G7" s="43" t="b">
        <v>0</v>
      </c>
    </row>
    <row r="8" spans="1:7">
      <c r="A8" s="42" t="s">
        <v>123</v>
      </c>
      <c r="B8" s="42" t="s">
        <v>124</v>
      </c>
      <c r="C8" s="42" t="s">
        <v>118</v>
      </c>
      <c r="D8" s="42" t="s">
        <v>54</v>
      </c>
      <c r="E8" s="42" t="s">
        <v>114</v>
      </c>
      <c r="F8" s="42" t="s">
        <v>122</v>
      </c>
      <c r="G8" s="43" t="b">
        <v>0</v>
      </c>
    </row>
    <row r="9" spans="1:7">
      <c r="A9" s="42" t="s">
        <v>123</v>
      </c>
      <c r="B9" s="42" t="s">
        <v>124</v>
      </c>
      <c r="C9" s="42" t="s">
        <v>118</v>
      </c>
      <c r="D9" s="42" t="s">
        <v>54</v>
      </c>
      <c r="E9" s="42" t="s">
        <v>116</v>
      </c>
      <c r="F9" s="42" t="s">
        <v>122</v>
      </c>
      <c r="G9" s="43" t="b">
        <v>0</v>
      </c>
    </row>
    <row r="10" spans="1:7">
      <c r="A10" s="42" t="s">
        <v>125</v>
      </c>
      <c r="B10" s="42" t="s">
        <v>126</v>
      </c>
      <c r="C10" s="42" t="s">
        <v>118</v>
      </c>
      <c r="D10" s="42" t="s">
        <v>54</v>
      </c>
      <c r="E10" s="42" t="s">
        <v>114</v>
      </c>
      <c r="F10" s="42" t="s">
        <v>117</v>
      </c>
      <c r="G10" s="43" t="b">
        <v>0</v>
      </c>
    </row>
    <row r="11" spans="1:7">
      <c r="A11" s="42" t="s">
        <v>125</v>
      </c>
      <c r="B11" s="42" t="s">
        <v>126</v>
      </c>
      <c r="C11" s="42" t="s">
        <v>118</v>
      </c>
      <c r="D11" s="42" t="s">
        <v>54</v>
      </c>
      <c r="E11" s="42" t="s">
        <v>116</v>
      </c>
      <c r="F11" s="42" t="s">
        <v>122</v>
      </c>
      <c r="G11" s="43" t="b">
        <v>0</v>
      </c>
    </row>
    <row r="12" spans="1:7">
      <c r="A12" s="42" t="s">
        <v>127</v>
      </c>
      <c r="B12" s="42" t="s">
        <v>128</v>
      </c>
      <c r="C12" s="42" t="s">
        <v>118</v>
      </c>
      <c r="D12" s="42" t="s">
        <v>54</v>
      </c>
      <c r="E12" s="42" t="s">
        <v>114</v>
      </c>
      <c r="F12" s="42" t="s">
        <v>122</v>
      </c>
      <c r="G12" s="43" t="b">
        <v>0</v>
      </c>
    </row>
    <row r="13" spans="1:7">
      <c r="A13" s="42" t="s">
        <v>127</v>
      </c>
      <c r="B13" s="42" t="s">
        <v>128</v>
      </c>
      <c r="C13" s="42" t="s">
        <v>118</v>
      </c>
      <c r="D13" s="42" t="s">
        <v>54</v>
      </c>
      <c r="E13" s="42" t="s">
        <v>116</v>
      </c>
      <c r="F13" s="42" t="s">
        <v>122</v>
      </c>
      <c r="G13" s="43" t="b">
        <v>0</v>
      </c>
    </row>
    <row r="14" spans="1:7">
      <c r="A14" s="42" t="s">
        <v>129</v>
      </c>
      <c r="B14" s="42" t="s">
        <v>130</v>
      </c>
      <c r="C14" s="42" t="s">
        <v>118</v>
      </c>
      <c r="D14" s="42" t="s">
        <v>54</v>
      </c>
      <c r="E14" s="42" t="s">
        <v>114</v>
      </c>
      <c r="F14" s="42" t="s">
        <v>115</v>
      </c>
      <c r="G14" s="43" t="b">
        <v>0</v>
      </c>
    </row>
    <row r="16" spans="1:7">
      <c r="A16" s="44" t="s">
        <v>209</v>
      </c>
      <c r="B16" s="317" t="s">
        <v>210</v>
      </c>
    </row>
    <row r="17" spans="1:7">
      <c r="A17" s="44" t="s">
        <v>166</v>
      </c>
    </row>
    <row r="18" spans="1:7">
      <c r="A18" s="41" t="s">
        <v>105</v>
      </c>
      <c r="B18" s="41" t="s">
        <v>106</v>
      </c>
      <c r="C18" s="41" t="s">
        <v>107</v>
      </c>
      <c r="D18" s="41" t="s">
        <v>108</v>
      </c>
      <c r="E18" s="41" t="s">
        <v>109</v>
      </c>
      <c r="F18" s="41" t="s">
        <v>110</v>
      </c>
      <c r="G18" s="41" t="s">
        <v>111</v>
      </c>
    </row>
    <row r="19" spans="1:7">
      <c r="A19" s="42" t="s">
        <v>112</v>
      </c>
      <c r="B19" s="42" t="s">
        <v>113</v>
      </c>
      <c r="C19" s="42" t="s">
        <v>104</v>
      </c>
      <c r="D19" s="42" t="s">
        <v>55</v>
      </c>
      <c r="E19" s="42" t="s">
        <v>114</v>
      </c>
      <c r="F19" s="42" t="s">
        <v>117</v>
      </c>
      <c r="G19" s="43" t="b">
        <v>0</v>
      </c>
    </row>
    <row r="20" spans="1:7">
      <c r="A20" s="42" t="s">
        <v>112</v>
      </c>
      <c r="B20" s="42" t="s">
        <v>113</v>
      </c>
      <c r="C20" s="42" t="s">
        <v>104</v>
      </c>
      <c r="D20" s="42" t="s">
        <v>55</v>
      </c>
      <c r="E20" s="42" t="s">
        <v>116</v>
      </c>
      <c r="F20" s="42" t="s">
        <v>122</v>
      </c>
      <c r="G20" s="43" t="b">
        <v>0</v>
      </c>
    </row>
    <row r="21" spans="1:7">
      <c r="A21" s="42" t="s">
        <v>119</v>
      </c>
      <c r="B21" s="42" t="s">
        <v>120</v>
      </c>
      <c r="C21" s="42" t="s">
        <v>104</v>
      </c>
      <c r="D21" s="42" t="s">
        <v>55</v>
      </c>
      <c r="E21" s="42" t="s">
        <v>121</v>
      </c>
      <c r="F21" s="42" t="s">
        <v>117</v>
      </c>
      <c r="G21" s="43" t="b">
        <v>0</v>
      </c>
    </row>
    <row r="22" spans="1:7">
      <c r="A22" s="42" t="s">
        <v>123</v>
      </c>
      <c r="B22" s="42" t="s">
        <v>124</v>
      </c>
      <c r="C22" s="42" t="s">
        <v>104</v>
      </c>
      <c r="D22" s="42" t="s">
        <v>55</v>
      </c>
      <c r="E22" s="42" t="s">
        <v>114</v>
      </c>
      <c r="F22" s="42" t="s">
        <v>117</v>
      </c>
      <c r="G22" s="43" t="b">
        <v>0</v>
      </c>
    </row>
    <row r="23" spans="1:7">
      <c r="A23" s="42" t="s">
        <v>123</v>
      </c>
      <c r="B23" s="42" t="s">
        <v>124</v>
      </c>
      <c r="C23" s="42" t="s">
        <v>104</v>
      </c>
      <c r="D23" s="42" t="s">
        <v>55</v>
      </c>
      <c r="E23" s="42" t="s">
        <v>116</v>
      </c>
      <c r="F23" s="42" t="s">
        <v>122</v>
      </c>
      <c r="G23" s="43" t="b">
        <v>0</v>
      </c>
    </row>
    <row r="24" spans="1:7">
      <c r="A24" s="42" t="s">
        <v>125</v>
      </c>
      <c r="B24" s="42" t="s">
        <v>126</v>
      </c>
      <c r="C24" s="42" t="s">
        <v>104</v>
      </c>
      <c r="D24" s="42" t="s">
        <v>55</v>
      </c>
      <c r="E24" s="42" t="s">
        <v>114</v>
      </c>
      <c r="F24" s="42" t="s">
        <v>122</v>
      </c>
      <c r="G24" s="43" t="b">
        <v>0</v>
      </c>
    </row>
    <row r="25" spans="1:7">
      <c r="A25" s="42" t="s">
        <v>125</v>
      </c>
      <c r="B25" s="42" t="s">
        <v>126</v>
      </c>
      <c r="C25" s="42" t="s">
        <v>104</v>
      </c>
      <c r="D25" s="42" t="s">
        <v>55</v>
      </c>
      <c r="E25" s="42" t="s">
        <v>116</v>
      </c>
      <c r="F25" s="42" t="s">
        <v>122</v>
      </c>
      <c r="G25" s="43" t="b">
        <v>0</v>
      </c>
    </row>
    <row r="26" spans="1:7">
      <c r="A26" s="42" t="s">
        <v>127</v>
      </c>
      <c r="B26" s="42" t="s">
        <v>128</v>
      </c>
      <c r="C26" s="42" t="s">
        <v>104</v>
      </c>
      <c r="D26" s="42" t="s">
        <v>55</v>
      </c>
      <c r="E26" s="42" t="s">
        <v>114</v>
      </c>
      <c r="F26" s="42" t="s">
        <v>122</v>
      </c>
      <c r="G26" s="43" t="b">
        <v>0</v>
      </c>
    </row>
    <row r="27" spans="1:7">
      <c r="A27" s="42" t="s">
        <v>127</v>
      </c>
      <c r="B27" s="42" t="s">
        <v>128</v>
      </c>
      <c r="C27" s="42" t="s">
        <v>104</v>
      </c>
      <c r="D27" s="42" t="s">
        <v>55</v>
      </c>
      <c r="E27" s="42" t="s">
        <v>116</v>
      </c>
      <c r="F27" s="42" t="s">
        <v>122</v>
      </c>
      <c r="G27" s="43" t="b">
        <v>0</v>
      </c>
    </row>
    <row r="28" spans="1:7">
      <c r="A28" s="42" t="s">
        <v>129</v>
      </c>
      <c r="B28" s="42" t="s">
        <v>130</v>
      </c>
      <c r="C28" s="42" t="s">
        <v>104</v>
      </c>
      <c r="D28" s="42" t="s">
        <v>55</v>
      </c>
      <c r="E28" s="42" t="s">
        <v>114</v>
      </c>
      <c r="F28" s="42" t="s">
        <v>115</v>
      </c>
      <c r="G28" s="43" t="b">
        <v>0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641DF6C8BE6174C9931224F8E26AB2F" ma:contentTypeVersion="11" ma:contentTypeDescription="新しいドキュメントを作成します。" ma:contentTypeScope="" ma:versionID="4f7b4c9173aacaf31a37639a1b1ffe3f">
  <xsd:schema xmlns:xsd="http://www.w3.org/2001/XMLSchema" xmlns:xs="http://www.w3.org/2001/XMLSchema" xmlns:p="http://schemas.microsoft.com/office/2006/metadata/properties" xmlns:ns2="f4188c96-7968-4acb-9bbb-8a0b588810c8" xmlns:ns3="58483dbd-2ae0-44ca-a79c-ce6710d17dd8" targetNamespace="http://schemas.microsoft.com/office/2006/metadata/properties" ma:root="true" ma:fieldsID="33098d552a60958e038c93a748d04b51" ns2:_="" ns3:_="">
    <xsd:import namespace="f4188c96-7968-4acb-9bbb-8a0b588810c8"/>
    <xsd:import namespace="58483dbd-2ae0-44ca-a79c-ce6710d17d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88c96-7968-4acb-9bbb-8a0b588810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f741c3b-bdaf-46ab-bb9b-abf2ea42b0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483dbd-2ae0-44ca-a79c-ce6710d17dd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100e850-8ef3-4b54-b02d-5fb1b1289fc8}" ma:internalName="TaxCatchAll" ma:showField="CatchAllData" ma:web="58483dbd-2ae0-44ca-a79c-ce6710d17d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188c96-7968-4acb-9bbb-8a0b588810c8">
      <Terms xmlns="http://schemas.microsoft.com/office/infopath/2007/PartnerControls"/>
    </lcf76f155ced4ddcb4097134ff3c332f>
    <TaxCatchAll xmlns="58483dbd-2ae0-44ca-a79c-ce6710d17dd8" xsi:nil="true"/>
  </documentManagement>
</p:properties>
</file>

<file path=customXml/itemProps1.xml><?xml version="1.0" encoding="utf-8"?>
<ds:datastoreItem xmlns:ds="http://schemas.openxmlformats.org/officeDocument/2006/customXml" ds:itemID="{0A329DD3-2417-46B2-A973-6232AF36A4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90FD4BF-3C93-4532-B1D9-C58980816F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188c96-7968-4acb-9bbb-8a0b588810c8"/>
    <ds:schemaRef ds:uri="58483dbd-2ae0-44ca-a79c-ce6710d17d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B0EFE32-A74A-490D-A8A8-21E99D832722}">
  <ds:schemaRefs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f4188c96-7968-4acb-9bbb-8a0b588810c8"/>
    <ds:schemaRef ds:uri="http://purl.org/dc/terms/"/>
    <ds:schemaRef ds:uri="http://schemas.microsoft.com/office/2006/documentManagement/types"/>
    <ds:schemaRef ds:uri="http://schemas.microsoft.com/office/infopath/2007/PartnerControls"/>
    <ds:schemaRef ds:uri="58483dbd-2ae0-44ca-a79c-ce6710d17dd8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4</vt:i4>
      </vt:variant>
    </vt:vector>
  </HeadingPairs>
  <TitlesOfParts>
    <vt:vector size="12" baseType="lpstr">
      <vt:lpstr>表紙</vt:lpstr>
      <vt:lpstr>更新履歴</vt:lpstr>
      <vt:lpstr>オンラインプロセスフロー</vt:lpstr>
      <vt:lpstr>画面レイアウト</vt:lpstr>
      <vt:lpstr>画面定義書</vt:lpstr>
      <vt:lpstr>入力項目チェック仕様説明書</vt:lpstr>
      <vt:lpstr>画面処理内容説明書</vt:lpstr>
      <vt:lpstr>(補足)切替時DB追加レコード</vt:lpstr>
      <vt:lpstr>オンラインプロセスフロー!Print_Area</vt:lpstr>
      <vt:lpstr>画面定義書!Print_Area</vt:lpstr>
      <vt:lpstr>更新履歴!Print_Area</vt:lpstr>
      <vt:lpstr>表紙!Print_Area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曹 嘉</dc:creator>
  <cp:keywords/>
  <dc:description/>
  <cp:lastModifiedBy>下田 晃平</cp:lastModifiedBy>
  <cp:revision/>
  <cp:lastPrinted>2026-07-17T09:42:38Z</cp:lastPrinted>
  <dcterms:created xsi:type="dcterms:W3CDTF">2025-04-14T03:22:20Z</dcterms:created>
  <dcterms:modified xsi:type="dcterms:W3CDTF">2026-09-24T02:27:29Z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0x0101002641DF6C8BE6174C9931224F8E26AB2F</vt:lpwstr>
  </property>
  <property fmtid="{D5CDD505-2E9C-101B-9397-08002B2CF9AE}" pid="3" name="MediaServiceImageTags">
    <vt:lpwstr/>
  </property>
</Properties>
</file>