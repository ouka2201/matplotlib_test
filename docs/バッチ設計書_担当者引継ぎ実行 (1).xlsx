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CNDX\02_設計資料成果物\営業担当引継\"/>
    </mc:Choice>
  </mc:AlternateContent>
  <xr:revisionPtr revIDLastSave="0" documentId="13_ncr:1_{FF0F4456-535D-419C-B477-B5A74F4E730F}" xr6:coauthVersionLast="47" xr6:coauthVersionMax="47" xr10:uidLastSave="{00000000-0000-0000-0000-000000000000}"/>
  <bookViews>
    <workbookView xWindow="-120" yWindow="-120" windowWidth="29040" windowHeight="15720" firstSheet="1" activeTab="5" xr2:uid="{00000000-000D-0000-FFFF-FFFF00000000}"/>
  </bookViews>
  <sheets>
    <sheet name="表紙" sheetId="14" r:id="rId1"/>
    <sheet name="更新履歴" sheetId="15" r:id="rId2"/>
    <sheet name="バッチプロセスフロー" sheetId="9" r:id="rId3"/>
    <sheet name="バッチ処理概要定義書" sheetId="8" r:id="rId4"/>
    <sheet name="バッチ処理内容定義書" sheetId="10" r:id="rId5"/>
    <sheet name="データ項目更新仕様説明書" sheetId="16" r:id="rId6"/>
    <sheet name="入力項目チェック仕様説明書" sheetId="17" r:id="rId7"/>
    <sheet name="処理結果一覧" sheetId="18" r:id="rId8"/>
  </sheets>
  <definedNames>
    <definedName name="__________a1">#REF!</definedName>
    <definedName name="_________a1">#REF!</definedName>
    <definedName name="________a1">#REF!</definedName>
    <definedName name="_______a1">#REF!</definedName>
    <definedName name="______a1">#REF!</definedName>
    <definedName name="_____a1">#REF!</definedName>
    <definedName name="____a1">#REF!</definedName>
    <definedName name="___a1">#REF!</definedName>
    <definedName name="__a1">#REF!</definedName>
    <definedName name="_a1">#REF!</definedName>
    <definedName name="_Fill" hidden="1">#REF!</definedName>
    <definedName name="_Order1" hidden="1">255</definedName>
    <definedName name="_Sort" hidden="1">#REF!</definedName>
    <definedName name="A_農業_林業">#REF!</definedName>
    <definedName name="cmb宛先">#REF!</definedName>
    <definedName name="cmb厚生労働省">#REF!</definedName>
    <definedName name="cmb提出先">#REF!</definedName>
    <definedName name="D_表1_メッセージ表示1">#REF!</definedName>
    <definedName name="D_表1_メッセージ表示2">#REF!</definedName>
    <definedName name="D_表2_メッセージ表示1">#REF!</definedName>
    <definedName name="D_表3_メッセージ表示1">#REF!</definedName>
    <definedName name="D_表3_メッセージ表示2">#REF!</definedName>
    <definedName name="D_表4_メッセージ表示1">#REF!</definedName>
    <definedName name="D_表4_メッセージ表示2">#REF!</definedName>
    <definedName name="D_表5_メッセージ表示1">#REF!</definedName>
    <definedName name="D_表6_メッセージ表示1">#REF!</definedName>
    <definedName name="D_表6_メッセージ表示2">#REF!</definedName>
    <definedName name="D_付表1_メッセージ表示1">#REF!</definedName>
    <definedName name="D_付表2_メッセージ表示1">#REF!</definedName>
    <definedName name="D_付表2_メッセージ表示2">#REF!</definedName>
    <definedName name="D_付表3_メッセージ表示1">#REF!</definedName>
    <definedName name="D_付表3_メッセージ表示2">#REF!</definedName>
    <definedName name="D_付表3_メッセージ表示3">#REF!</definedName>
    <definedName name="D_保存データ変更_メッセージ表示1">#REF!</definedName>
    <definedName name="D_保存データ変更_メッセージ表示2">#REF!</definedName>
    <definedName name="D_報告">#REF!</definedName>
    <definedName name="D_報告_IDX">#REF!</definedName>
    <definedName name="DBTYPE">#REF!</definedName>
    <definedName name="DynamicList">OFFSET(#REF!, 0, 0, COUNTA(#REF!), 1)</definedName>
    <definedName name="HTML_CodePage" hidden="1">932</definedName>
    <definedName name="HTML_Control" hidden="1">{"'第２表'!$W$27:$AA$68"}</definedName>
    <definedName name="HTML_Description" hidden="1">""</definedName>
    <definedName name="HTML_Email" hidden="1">""</definedName>
    <definedName name="HTML_Header" hidden="1">"第１表印刷用"</definedName>
    <definedName name="HTML_LastUpdate" hidden="1">"平成 11/08/04 (水)"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"N:\速報作業中\MyHTMLg.htm"</definedName>
    <definedName name="HTML_PathTemplate" hidden="1">"N:\速報作業中\MyHTMLg.htm"</definedName>
    <definedName name="HTML_Title" hidden="1">"10FYｿｸﾎｰ"</definedName>
    <definedName name="pps推移" hidden="1">{"'第２表'!$W$27:$AA$68"}</definedName>
    <definedName name="_xlnm.Print_Area" localSheetId="2">バッチプロセスフロー!$A$1:$AZ$41</definedName>
    <definedName name="_xlnm.Print_Area" localSheetId="3">バッチ処理概要定義書!$A$1:$BL$41</definedName>
    <definedName name="_xlnm.Print_Area" localSheetId="1">更新履歴!$A$1:$I$12</definedName>
    <definedName name="_xlnm.Print_Area" localSheetId="0">表紙!$A$1:$N$22</definedName>
    <definedName name="_xlnm.Print_Area">#REF!</definedName>
    <definedName name="Print_Title">#REF!</definedName>
    <definedName name="_xlnm.Print_Titles" localSheetId="3">バッチ処理概要定義書!$1:$6</definedName>
    <definedName name="_xlnm.Print_Titles" hidden="1">#REF!</definedName>
    <definedName name="wrn.Master._.Status." hidden="1">{"Master Status",#N/A,FALSE,"Master"}</definedName>
    <definedName name="wrn.Test3." hidden="1">{#N/A,#N/A,FALSE,"Master";"test3",#N/A,FALSE,"Master"}</definedName>
    <definedName name="wrn.test4." hidden="1">{"test4 hide",#N/A,FALSE,"Master"}</definedName>
    <definedName name="ああ" hidden="1">{"Master Status",#N/A,FALSE,"Master"}</definedName>
    <definedName name="その他の燃料単位">#REF!</definedName>
    <definedName name="その他の燃料名称">#REF!</definedName>
    <definedName name="換算係数_数値3">#REF!</definedName>
    <definedName name="係数">#REF!</definedName>
    <definedName name="元号">#REF!</definedName>
    <definedName name="最大積載量">#REF!</definedName>
    <definedName name="指定区分の変更有無">#REF!</definedName>
    <definedName name="識別エラー1">#REF!</definedName>
    <definedName name="識別エラー2">#REF!</definedName>
    <definedName name="識別エラー3">#REF!</definedName>
    <definedName name="積載率">#REF!</definedName>
    <definedName name="積載率ワーニング">#REF!</definedName>
    <definedName name="中分類A">#REF!</definedName>
    <definedName name="中分類B">#REF!</definedName>
    <definedName name="中分類C">#REF!</definedName>
    <definedName name="中分類D">#REF!</definedName>
    <definedName name="中分類E">#REF!</definedName>
    <definedName name="中分類F">#REF!</definedName>
    <definedName name="中分類G">#REF!</definedName>
    <definedName name="中分類H">#REF!</definedName>
    <definedName name="中分類I">#REF!</definedName>
    <definedName name="中分類J">#REF!</definedName>
    <definedName name="中分類K">#REF!</definedName>
    <definedName name="中分類L">#REF!</definedName>
    <definedName name="中分類M">#REF!</definedName>
    <definedName name="中分類N">#REF!</definedName>
    <definedName name="中分類O">#REF!</definedName>
    <definedName name="中分類P">#REF!</definedName>
    <definedName name="中分類Q">#REF!</definedName>
    <definedName name="中分類R">#REF!</definedName>
    <definedName name="中分類S">#REF!</definedName>
    <definedName name="提供の有無1">#REF!</definedName>
    <definedName name="提供の有無2">#REF!</definedName>
    <definedName name="提出先">#REF!</definedName>
    <definedName name="電気CO2排出係数入力">#REF!</definedName>
    <definedName name="電気事業者係数">#REF!</definedName>
    <definedName name="電気単位発熱量入力">#REF!</definedName>
    <definedName name="電力会社">#REF!</definedName>
    <definedName name="都市ガスCO2排出係数入力">#REF!</definedName>
    <definedName name="都市ガス単位発熱量入力">#REF!</definedName>
    <definedName name="燃料エラー1">#REF!</definedName>
    <definedName name="燃料エラー2">#REF!</definedName>
    <definedName name="燃料エラー3">#REF!</definedName>
    <definedName name="番号中">#REF!:#REF!</definedName>
    <definedName name="表1_メッセージ">#REF!</definedName>
    <definedName name="表1_記述">#REF!</definedName>
    <definedName name="表4_メッセージ">#REF!</definedName>
    <definedName name="表4_記述">#REF!</definedName>
    <definedName name="表6_イ">#REF!</definedName>
    <definedName name="表6_イ_メッセージ">#REF!</definedName>
    <definedName name="表6_ロ">#REF!</definedName>
    <definedName name="表6_ロ_メッセージ">#REF!</definedName>
    <definedName name="付表3補足">#REF!</definedName>
    <definedName name="平均積載率_手入力">#REF!</definedName>
    <definedName name="保険料" hidden="1">#REF!</definedName>
    <definedName name="輸送距離ワーニング">#REF!</definedName>
    <definedName name="輸送量">#REF!</definedName>
    <definedName name="輸送量ワーニング">#REF!</definedName>
    <definedName name="連携省エネ_数値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14" l="1"/>
  <c r="K8" i="15"/>
  <c r="C1" i="15" s="1"/>
  <c r="G1" i="15"/>
  <c r="A1" i="15"/>
  <c r="B21" i="14"/>
  <c r="B18" i="14"/>
</calcChain>
</file>

<file path=xl/sharedStrings.xml><?xml version="1.0" encoding="utf-8"?>
<sst xmlns="http://schemas.openxmlformats.org/spreadsheetml/2006/main" count="668" uniqueCount="351">
  <si>
    <t>プロジェクト</t>
    <phoneticPr fontId="4"/>
  </si>
  <si>
    <t>Ver.</t>
    <phoneticPr fontId="4"/>
  </si>
  <si>
    <t>更新内容</t>
    <rPh sb="2" eb="4">
      <t>ナイヨウ</t>
    </rPh>
    <phoneticPr fontId="4"/>
  </si>
  <si>
    <t>対象シート</t>
    <rPh sb="0" eb="2">
      <t>タイショウ</t>
    </rPh>
    <phoneticPr fontId="4"/>
  </si>
  <si>
    <t>実装チケットID</t>
    <rPh sb="0" eb="2">
      <t>ジッソウ</t>
    </rPh>
    <phoneticPr fontId="4"/>
  </si>
  <si>
    <t>作成日/更新日</t>
    <rPh sb="0" eb="2">
      <t>サクセイ</t>
    </rPh>
    <rPh sb="2" eb="3">
      <t>ビ</t>
    </rPh>
    <rPh sb="6" eb="7">
      <t>ビ</t>
    </rPh>
    <phoneticPr fontId="4"/>
  </si>
  <si>
    <t>作成者/更新者</t>
    <rPh sb="0" eb="2">
      <t>サクセイ</t>
    </rPh>
    <rPh sb="6" eb="7">
      <t>シャ</t>
    </rPh>
    <phoneticPr fontId="4"/>
  </si>
  <si>
    <t>システム</t>
    <phoneticPr fontId="4"/>
  </si>
  <si>
    <t>1.0</t>
    <phoneticPr fontId="4"/>
  </si>
  <si>
    <t>－</t>
    <phoneticPr fontId="4"/>
  </si>
  <si>
    <t xml:space="preserve">    </t>
    <phoneticPr fontId="4"/>
  </si>
  <si>
    <t xml:space="preserve"> </t>
    <phoneticPr fontId="4"/>
  </si>
  <si>
    <t xml:space="preserve">  </t>
    <phoneticPr fontId="4"/>
  </si>
  <si>
    <t xml:space="preserve"> 処理フロー</t>
    <rPh sb="1" eb="3">
      <t>ショリ</t>
    </rPh>
    <phoneticPr fontId="4"/>
  </si>
  <si>
    <t>機能概要</t>
    <rPh sb="0" eb="2">
      <t>キノウ</t>
    </rPh>
    <rPh sb="2" eb="4">
      <t>ガイヨウ</t>
    </rPh>
    <phoneticPr fontId="4"/>
  </si>
  <si>
    <t>2026.12.21</t>
    <phoneticPr fontId="4"/>
  </si>
  <si>
    <t>バッチ処理概要定義書</t>
    <rPh sb="3" eb="5">
      <t>ショリ</t>
    </rPh>
    <rPh sb="5" eb="7">
      <t>ガイヨウ</t>
    </rPh>
    <rPh sb="7" eb="10">
      <t>テイギショ</t>
    </rPh>
    <phoneticPr fontId="4"/>
  </si>
  <si>
    <t>CNレポート作成アプリ「LecMoc」</t>
    <phoneticPr fontId="3"/>
  </si>
  <si>
    <t>フォーマットNo.</t>
    <phoneticPr fontId="4"/>
  </si>
  <si>
    <t>KS2-4-06</t>
    <phoneticPr fontId="4"/>
  </si>
  <si>
    <t>処理機能ID</t>
    <rPh sb="0" eb="2">
      <t>ショリ</t>
    </rPh>
    <rPh sb="2" eb="4">
      <t>キノウ</t>
    </rPh>
    <phoneticPr fontId="21"/>
  </si>
  <si>
    <t>処理機能名</t>
    <rPh sb="2" eb="4">
      <t>キノウ</t>
    </rPh>
    <rPh sb="4" eb="5">
      <t>メイ</t>
    </rPh>
    <phoneticPr fontId="4"/>
  </si>
  <si>
    <t>備　考</t>
    <rPh sb="0" eb="1">
      <t>ビ</t>
    </rPh>
    <rPh sb="2" eb="3">
      <t>コウ</t>
    </rPh>
    <phoneticPr fontId="4"/>
  </si>
  <si>
    <t>前提条件</t>
    <rPh sb="0" eb="2">
      <t>ゼンテイ</t>
    </rPh>
    <rPh sb="2" eb="4">
      <t>ジョウケン</t>
    </rPh>
    <phoneticPr fontId="4"/>
  </si>
  <si>
    <t>処理方式</t>
    <rPh sb="0" eb="2">
      <t>ショリ</t>
    </rPh>
    <rPh sb="2" eb="4">
      <t>ホウシキ</t>
    </rPh>
    <phoneticPr fontId="4"/>
  </si>
  <si>
    <t>実行環境</t>
    <rPh sb="0" eb="2">
      <t>ジッコウ</t>
    </rPh>
    <rPh sb="2" eb="4">
      <t>カンキョウ</t>
    </rPh>
    <phoneticPr fontId="4"/>
  </si>
  <si>
    <t>想定データ量・目標処理時間</t>
    <rPh sb="7" eb="9">
      <t>モクヒョウ</t>
    </rPh>
    <rPh sb="9" eb="11">
      <t>ショリ</t>
    </rPh>
    <phoneticPr fontId="4"/>
  </si>
  <si>
    <t>廣田</t>
    <rPh sb="0" eb="2">
      <t>ヒロタ</t>
    </rPh>
    <phoneticPr fontId="3"/>
  </si>
  <si>
    <t>バッチプロセスフロー</t>
    <phoneticPr fontId="4"/>
  </si>
  <si>
    <t>KS2-4-05／SS2-1-02</t>
    <phoneticPr fontId="4"/>
  </si>
  <si>
    <t>業務プロセス名</t>
    <phoneticPr fontId="3"/>
  </si>
  <si>
    <t>バッチID</t>
    <phoneticPr fontId="21"/>
  </si>
  <si>
    <t>バッチ名</t>
    <rPh sb="3" eb="4">
      <t>メイ</t>
    </rPh>
    <phoneticPr fontId="4"/>
  </si>
  <si>
    <t>備　考</t>
    <rPh sb="0" eb="1">
      <t>ソナエ</t>
    </rPh>
    <rPh sb="2" eb="3">
      <t>コウ</t>
    </rPh>
    <phoneticPr fontId="21"/>
  </si>
  <si>
    <t>処理時間帯</t>
    <rPh sb="0" eb="2">
      <t>ショリ</t>
    </rPh>
    <rPh sb="2" eb="5">
      <t>ジカンタイ</t>
    </rPh>
    <phoneticPr fontId="21"/>
  </si>
  <si>
    <t>実行周期</t>
    <rPh sb="0" eb="2">
      <t>ジッコウ</t>
    </rPh>
    <rPh sb="2" eb="4">
      <t>シュウキ</t>
    </rPh>
    <phoneticPr fontId="21"/>
  </si>
  <si>
    <t>処理区分・種別</t>
    <rPh sb="0" eb="2">
      <t>ショリ</t>
    </rPh>
    <rPh sb="2" eb="4">
      <t>クブン</t>
    </rPh>
    <rPh sb="5" eb="7">
      <t>シュベツ</t>
    </rPh>
    <phoneticPr fontId="21"/>
  </si>
  <si>
    <t>営業担当Aが担当する企業をすべて営業担当Bに引き継ぐ「一括引継ぎ」と、</t>
    <rPh sb="0" eb="2">
      <t>エイギョウ</t>
    </rPh>
    <rPh sb="2" eb="4">
      <t>タントウ</t>
    </rPh>
    <rPh sb="6" eb="8">
      <t>タントウ</t>
    </rPh>
    <rPh sb="10" eb="12">
      <t>キギョウ</t>
    </rPh>
    <rPh sb="16" eb="18">
      <t>エイギョウ</t>
    </rPh>
    <rPh sb="18" eb="20">
      <t>タントウ</t>
    </rPh>
    <rPh sb="22" eb="23">
      <t>ヒ</t>
    </rPh>
    <rPh sb="24" eb="25">
      <t>ツ</t>
    </rPh>
    <rPh sb="27" eb="29">
      <t>イッカツ</t>
    </rPh>
    <rPh sb="29" eb="31">
      <t>ヒキツ</t>
    </rPh>
    <phoneticPr fontId="3"/>
  </si>
  <si>
    <t>法人番号単位での引継ぎを行う「個別引継ぎ」を行う。</t>
    <rPh sb="15" eb="17">
      <t>コベツ</t>
    </rPh>
    <rPh sb="17" eb="19">
      <t>ヒキツギ</t>
    </rPh>
    <rPh sb="22" eb="23">
      <t>オコナ</t>
    </rPh>
    <phoneticPr fontId="3"/>
  </si>
  <si>
    <t>・想定データ量</t>
    <rPh sb="1" eb="3">
      <t>ソウテイ</t>
    </rPh>
    <rPh sb="6" eb="7">
      <t>リョウ</t>
    </rPh>
    <phoneticPr fontId="3"/>
  </si>
  <si>
    <t>・目標処理時間</t>
    <rPh sb="1" eb="3">
      <t>モクヒョウ</t>
    </rPh>
    <rPh sb="3" eb="5">
      <t>ショリ</t>
    </rPh>
    <rPh sb="5" eb="7">
      <t>ジカン</t>
    </rPh>
    <phoneticPr fontId="3"/>
  </si>
  <si>
    <t>バッチ処理内容定義書</t>
    <rPh sb="3" eb="5">
      <t>ショリ</t>
    </rPh>
    <rPh sb="5" eb="7">
      <t>ナイヨウ</t>
    </rPh>
    <rPh sb="7" eb="10">
      <t>テイギショ</t>
    </rPh>
    <phoneticPr fontId="4"/>
  </si>
  <si>
    <t>SS1-2-14</t>
    <phoneticPr fontId="4"/>
  </si>
  <si>
    <t>LecMoc上</t>
    <rPh sb="6" eb="7">
      <t>ジョウ</t>
    </rPh>
    <phoneticPr fontId="3"/>
  </si>
  <si>
    <t>LMMGMG06-01</t>
    <phoneticPr fontId="3"/>
  </si>
  <si>
    <t>担当者引継ぎ実行</t>
    <rPh sb="0" eb="3">
      <t>タントウシャ</t>
    </rPh>
    <rPh sb="3" eb="5">
      <t>ヒキツ</t>
    </rPh>
    <rPh sb="6" eb="8">
      <t>ジッコウ</t>
    </rPh>
    <phoneticPr fontId="3"/>
  </si>
  <si>
    <t>担当者引継ぎ実行</t>
    <rPh sb="0" eb="2">
      <t>タントウ</t>
    </rPh>
    <rPh sb="2" eb="3">
      <t>シャ</t>
    </rPh>
    <rPh sb="3" eb="5">
      <t>ヒキツギ</t>
    </rPh>
    <rPh sb="6" eb="8">
      <t>ジッコウ</t>
    </rPh>
    <phoneticPr fontId="3"/>
  </si>
  <si>
    <t>担当者引継ぎ実行</t>
    <phoneticPr fontId="3"/>
  </si>
  <si>
    <t>担当者引継ぎ実行バッチ</t>
    <rPh sb="0" eb="2">
      <t>タントウ</t>
    </rPh>
    <rPh sb="2" eb="3">
      <t>シャ</t>
    </rPh>
    <rPh sb="3" eb="5">
      <t>ヒキツギ</t>
    </rPh>
    <rPh sb="6" eb="8">
      <t>ジッコウ</t>
    </rPh>
    <phoneticPr fontId="3"/>
  </si>
  <si>
    <t>業務プロセスID・処理機能ID</t>
    <rPh sb="9" eb="11">
      <t>ショリ</t>
    </rPh>
    <rPh sb="11" eb="13">
      <t>キノウ</t>
    </rPh>
    <phoneticPr fontId="3"/>
  </si>
  <si>
    <t>BLMMGMGHANDOVER</t>
    <phoneticPr fontId="3"/>
  </si>
  <si>
    <t>2026.12.21</t>
  </si>
  <si>
    <t>CNレポート作成アプリ「LecMoc」</t>
  </si>
  <si>
    <t>LOOP</t>
    <phoneticPr fontId="3"/>
  </si>
  <si>
    <t>営業担当引継TBL.引継実施ステータス="予定" を "完了"に更新。</t>
    <rPh sb="32" eb="34">
      <t>コウシン</t>
    </rPh>
    <phoneticPr fontId="3"/>
  </si>
  <si>
    <t>法人番号ごとに1件ずつLOOPさせる。</t>
    <rPh sb="0" eb="2">
      <t>ホウジン</t>
    </rPh>
    <rPh sb="2" eb="4">
      <t>バンゴウ</t>
    </rPh>
    <phoneticPr fontId="3"/>
  </si>
  <si>
    <t>1日</t>
    <rPh sb="1" eb="2">
      <t>ニチ</t>
    </rPh>
    <phoneticPr fontId="3"/>
  </si>
  <si>
    <t>ソート順は登録日時、次点で更新日時。</t>
    <rPh sb="3" eb="4">
      <t>ジュン</t>
    </rPh>
    <rPh sb="5" eb="7">
      <t>トウロク</t>
    </rPh>
    <rPh sb="7" eb="9">
      <t>ニチジ</t>
    </rPh>
    <rPh sb="10" eb="12">
      <t>ジテン</t>
    </rPh>
    <rPh sb="13" eb="15">
      <t>コウシン</t>
    </rPh>
    <rPh sb="15" eb="17">
      <t>ニチジ</t>
    </rPh>
    <phoneticPr fontId="3"/>
  </si>
  <si>
    <t>営業担当引継情報TBL.引継実施ステータスが "予定"、</t>
    <rPh sb="0" eb="1">
      <t>エイギョウ</t>
    </rPh>
    <rPh sb="1" eb="3">
      <t>タントウ</t>
    </rPh>
    <rPh sb="3" eb="5">
      <t>ヒキツギ</t>
    </rPh>
    <rPh sb="5" eb="7">
      <t>ジョウホウ</t>
    </rPh>
    <rPh sb="11" eb="13">
      <t>ヒキツギ</t>
    </rPh>
    <rPh sb="13" eb="15">
      <t>ジッシ</t>
    </rPh>
    <rPh sb="24" eb="26">
      <t>ヨテイ</t>
    </rPh>
    <phoneticPr fontId="3"/>
  </si>
  <si>
    <t>1時～</t>
    <rPh sb="1" eb="2">
      <t>ジ</t>
    </rPh>
    <phoneticPr fontId="3"/>
  </si>
  <si>
    <t>営業担当引継TBL.過去データ引継ぎフラグ="TRUE" もののみ、</t>
    <rPh sb="0" eb="2">
      <t>エイギョウ</t>
    </rPh>
    <rPh sb="2" eb="4">
      <t>タントウ</t>
    </rPh>
    <rPh sb="4" eb="6">
      <t>ヒキツギ</t>
    </rPh>
    <rPh sb="10" eb="12">
      <t>カコ</t>
    </rPh>
    <rPh sb="15" eb="17">
      <t>ヒキツ</t>
    </rPh>
    <phoneticPr fontId="3"/>
  </si>
  <si>
    <t>順次方式</t>
    <rPh sb="0" eb="2">
      <t>ジュンジ</t>
    </rPh>
    <rPh sb="2" eb="4">
      <t>ホウシキ</t>
    </rPh>
    <phoneticPr fontId="3"/>
  </si>
  <si>
    <t>該当TBLの組織IDを'営業担当引継TBL.引継先組織IDに更新。</t>
    <rPh sb="0" eb="2">
      <t>ガイトウ</t>
    </rPh>
    <rPh sb="6" eb="8">
      <t>ソシキ</t>
    </rPh>
    <phoneticPr fontId="3"/>
  </si>
  <si>
    <t>エラーが発生した際の処理</t>
    <rPh sb="4" eb="6">
      <t>ハッセイ</t>
    </rPh>
    <rPh sb="8" eb="9">
      <t>サイ</t>
    </rPh>
    <rPh sb="10" eb="12">
      <t>ショリ</t>
    </rPh>
    <phoneticPr fontId="3"/>
  </si>
  <si>
    <t>営業担当引継TBL.引継実施ステータス="予定" を "登録エラー"に更新。</t>
    <rPh sb="28" eb="30">
      <t>トウロク</t>
    </rPh>
    <rPh sb="35" eb="37">
      <t>コウシン</t>
    </rPh>
    <phoneticPr fontId="3"/>
  </si>
  <si>
    <t>次の処理に進む</t>
    <rPh sb="0" eb="1">
      <t>ツギ</t>
    </rPh>
    <rPh sb="2" eb="4">
      <t>ショリ</t>
    </rPh>
    <rPh sb="5" eb="6">
      <t>スス</t>
    </rPh>
    <phoneticPr fontId="3"/>
  </si>
  <si>
    <t>・営業担当引継情報TBLにおいて、引継実施ステータスが「予定」、</t>
    <rPh sb="1" eb="3">
      <t>エイギョウ</t>
    </rPh>
    <rPh sb="3" eb="5">
      <t>タントウ</t>
    </rPh>
    <rPh sb="5" eb="7">
      <t>ヒキツギ</t>
    </rPh>
    <rPh sb="7" eb="9">
      <t>ジョウホウ</t>
    </rPh>
    <phoneticPr fontId="3"/>
  </si>
  <si>
    <t>画面側で制御が行われ、</t>
    <rPh sb="0" eb="2">
      <t>ガメン</t>
    </rPh>
    <rPh sb="2" eb="3">
      <t>ガワ</t>
    </rPh>
    <rPh sb="4" eb="6">
      <t>セイギョ</t>
    </rPh>
    <rPh sb="7" eb="8">
      <t>オコナ</t>
    </rPh>
    <phoneticPr fontId="3"/>
  </si>
  <si>
    <t>・同じ対象について個別引継、一括引継どちらも登録があった場合は</t>
    <rPh sb="1" eb="2">
      <t>オナ</t>
    </rPh>
    <rPh sb="3" eb="5">
      <t>タイショウ</t>
    </rPh>
    <rPh sb="9" eb="11">
      <t>コベツ</t>
    </rPh>
    <rPh sb="11" eb="13">
      <t>ヒキツギ</t>
    </rPh>
    <rPh sb="14" eb="16">
      <t>イッカツ</t>
    </rPh>
    <rPh sb="16" eb="18">
      <t>ヒキツ</t>
    </rPh>
    <rPh sb="22" eb="24">
      <t>トウロク</t>
    </rPh>
    <rPh sb="28" eb="30">
      <t>バアイ</t>
    </rPh>
    <phoneticPr fontId="3"/>
  </si>
  <si>
    <t>[バッチ設計]</t>
  </si>
  <si>
    <t>＜基本設計＞</t>
    <rPh sb="1" eb="5">
      <t>キホンセッケイ</t>
    </rPh>
    <phoneticPr fontId="3"/>
  </si>
  <si>
    <t>KS2-4-06_バッチ処理概要定義書.xls</t>
  </si>
  <si>
    <t>⇒バッチ処理概要定義書　シート</t>
    <phoneticPr fontId="3"/>
  </si>
  <si>
    <t>KS2-4-05_バッチプロセスフロー.xls</t>
  </si>
  <si>
    <t>⇒バッチプロセスフロー　シート</t>
    <phoneticPr fontId="3"/>
  </si>
  <si>
    <t>＜詳細設計＞</t>
    <rPh sb="1" eb="3">
      <t>ショウサイ</t>
    </rPh>
    <rPh sb="3" eb="5">
      <t>セッケイ</t>
    </rPh>
    <phoneticPr fontId="3"/>
  </si>
  <si>
    <t>SS2-1-02_バッチプロセスフロー（詳細）.xls</t>
  </si>
  <si>
    <t>SS2-1-03_バッチプロセス定義書.xls</t>
  </si>
  <si>
    <t>SS1-2-14_バッチ処理内容定義書.xls</t>
  </si>
  <si>
    <t>SS1-2-15_データ項目更新仕様説明書.xls</t>
  </si>
  <si>
    <t>⇒データ項目更新仕様説明書　シート</t>
    <phoneticPr fontId="3"/>
  </si>
  <si>
    <t>SS1-2-16_入力項目チェック仕様説明書.xls</t>
  </si>
  <si>
    <t>⇒入力項目チェック仕様説明書　シート</t>
    <phoneticPr fontId="3"/>
  </si>
  <si>
    <t>SS1-2-13_連携処理内容定義書.xls</t>
    <phoneticPr fontId="3"/>
  </si>
  <si>
    <t>⇒連携処理内容定義書　シート※TDVデータ連携機能のみ作成</t>
    <rPh sb="21" eb="23">
      <t>レンケイ</t>
    </rPh>
    <rPh sb="23" eb="25">
      <t>キノウ</t>
    </rPh>
    <rPh sb="27" eb="29">
      <t>サクセイ</t>
    </rPh>
    <phoneticPr fontId="3"/>
  </si>
  <si>
    <t>システム</t>
  </si>
  <si>
    <t>更新日</t>
    <rPh sb="0" eb="3">
      <t>コウシンヒ</t>
    </rPh>
    <phoneticPr fontId="4"/>
  </si>
  <si>
    <t>更新者</t>
    <rPh sb="0" eb="3">
      <t>コウシンシャ</t>
    </rPh>
    <phoneticPr fontId="4"/>
  </si>
  <si>
    <t>基本設計作成日</t>
    <rPh sb="0" eb="4">
      <t>キホンセッケイ</t>
    </rPh>
    <rPh sb="4" eb="7">
      <t>サクセイビ</t>
    </rPh>
    <phoneticPr fontId="2"/>
  </si>
  <si>
    <t>全シート</t>
    <rPh sb="0" eb="1">
      <t>スベ</t>
    </rPh>
    <phoneticPr fontId="4"/>
  </si>
  <si>
    <t>表紙上段</t>
    <rPh sb="0" eb="2">
      <t>ヒョウシ</t>
    </rPh>
    <rPh sb="2" eb="4">
      <t>ジョウダン</t>
    </rPh>
    <phoneticPr fontId="7"/>
  </si>
  <si>
    <t>[バッチ設計]</t>
    <rPh sb="4" eb="6">
      <t>セッケイ</t>
    </rPh>
    <phoneticPr fontId="7"/>
  </si>
  <si>
    <t>表紙中段</t>
    <rPh sb="0" eb="2">
      <t>ヒョウシ</t>
    </rPh>
    <rPh sb="2" eb="4">
      <t>チュウダン</t>
    </rPh>
    <phoneticPr fontId="7"/>
  </si>
  <si>
    <t>仕様書名</t>
    <rPh sb="0" eb="3">
      <t>シヨウショ</t>
    </rPh>
    <rPh sb="3" eb="4">
      <t>メイ</t>
    </rPh>
    <phoneticPr fontId="7"/>
  </si>
  <si>
    <t>ID</t>
  </si>
  <si>
    <t>名</t>
    <rPh sb="0" eb="1">
      <t>メイ</t>
    </rPh>
    <phoneticPr fontId="7"/>
  </si>
  <si>
    <t>バッチ処理概要定義書
バッチプロセスフロー
【補足資料】
【補足】CO2レポート管理情報TBL項目</t>
    <rPh sb="25" eb="27">
      <t>シリョウ</t>
    </rPh>
    <rPh sb="30" eb="32">
      <t>ホソク</t>
    </rPh>
    <rPh sb="40" eb="42">
      <t>カンリ</t>
    </rPh>
    <rPh sb="42" eb="44">
      <t>ジョウホウ</t>
    </rPh>
    <rPh sb="47" eb="49">
      <t>コウモク</t>
    </rPh>
    <phoneticPr fontId="4"/>
  </si>
  <si>
    <t>・引継ぎ後担当者が既に登録されていた場合は、引継ぎ前担当者を</t>
    <rPh sb="1" eb="3">
      <t>ヒキツギ</t>
    </rPh>
    <rPh sb="4" eb="5">
      <t>アト</t>
    </rPh>
    <rPh sb="5" eb="8">
      <t>タントウシャ</t>
    </rPh>
    <rPh sb="9" eb="10">
      <t>スデ</t>
    </rPh>
    <rPh sb="11" eb="13">
      <t>トウロク</t>
    </rPh>
    <rPh sb="18" eb="20">
      <t>バアイ</t>
    </rPh>
    <rPh sb="22" eb="24">
      <t>ヒキツ</t>
    </rPh>
    <rPh sb="25" eb="26">
      <t>マエ</t>
    </rPh>
    <rPh sb="26" eb="29">
      <t>タントウシャ</t>
    </rPh>
    <phoneticPr fontId="3"/>
  </si>
  <si>
    <t>削除する</t>
    <rPh sb="0" eb="2">
      <t>サクジョ</t>
    </rPh>
    <phoneticPr fontId="3"/>
  </si>
  <si>
    <t>こちらの処理の完了待ちなどはなし。</t>
    <rPh sb="4" eb="6">
      <t>ショリ</t>
    </rPh>
    <rPh sb="7" eb="9">
      <t>カンリョウ</t>
    </rPh>
    <rPh sb="9" eb="10">
      <t>マ</t>
    </rPh>
    <phoneticPr fontId="3"/>
  </si>
  <si>
    <t>処理を行う。</t>
    <rPh sb="0" eb="2">
      <t>ショリ</t>
    </rPh>
    <rPh sb="3" eb="4">
      <t>オコナ</t>
    </rPh>
    <phoneticPr fontId="3"/>
  </si>
  <si>
    <t>バッチ起動日の0:59までに登録されたデータに対して</t>
    <rPh sb="3" eb="5">
      <t>キドウ</t>
    </rPh>
    <rPh sb="5" eb="6">
      <t>ビ</t>
    </rPh>
    <rPh sb="14" eb="16">
      <t>トウロク</t>
    </rPh>
    <rPh sb="23" eb="24">
      <t>タイ</t>
    </rPh>
    <phoneticPr fontId="3"/>
  </si>
  <si>
    <t>TBLバックアップについては既存のDBバックアップ処理にて対応する。</t>
    <rPh sb="14" eb="16">
      <t>キソン</t>
    </rPh>
    <rPh sb="25" eb="27">
      <t>ショリ</t>
    </rPh>
    <rPh sb="29" eb="31">
      <t>タイオウ</t>
    </rPh>
    <phoneticPr fontId="3"/>
  </si>
  <si>
    <t>バッチ起動後、8件/h（ピーク時）</t>
    <rPh sb="3" eb="5">
      <t>キドウ</t>
    </rPh>
    <rPh sb="5" eb="6">
      <t>ゴ</t>
    </rPh>
    <rPh sb="15" eb="16">
      <t>ジ</t>
    </rPh>
    <phoneticPr fontId="3"/>
  </si>
  <si>
    <t>一度に引継ぎが可能となる件数は担当者1名あたりおよそ300件までとする</t>
    <phoneticPr fontId="3"/>
  </si>
  <si>
    <t>データ項目更新仕様説明書</t>
  </si>
  <si>
    <t>フォーマットNo.</t>
  </si>
  <si>
    <t>SS1-2-15</t>
    <phoneticPr fontId="3"/>
  </si>
  <si>
    <t>No</t>
    <phoneticPr fontId="4"/>
  </si>
  <si>
    <t>処理プロセス名</t>
    <rPh sb="0" eb="2">
      <t>ショリ</t>
    </rPh>
    <rPh sb="6" eb="7">
      <t>メイ</t>
    </rPh>
    <phoneticPr fontId="3"/>
  </si>
  <si>
    <t>CRUD</t>
    <phoneticPr fontId="3"/>
  </si>
  <si>
    <t>備考</t>
    <rPh sb="0" eb="2">
      <t>ビコウ</t>
    </rPh>
    <phoneticPr fontId="3"/>
  </si>
  <si>
    <t>入力仕様</t>
    <rPh sb="0" eb="2">
      <t>ニュウリョク</t>
    </rPh>
    <rPh sb="2" eb="4">
      <t>シヨウ</t>
    </rPh>
    <phoneticPr fontId="4"/>
  </si>
  <si>
    <t>設定値</t>
    <rPh sb="0" eb="2">
      <t>セッテイ</t>
    </rPh>
    <rPh sb="2" eb="3">
      <t>チ</t>
    </rPh>
    <phoneticPr fontId="4"/>
  </si>
  <si>
    <t>SELECT</t>
    <phoneticPr fontId="4"/>
  </si>
  <si>
    <t>項目名</t>
    <rPh sb="0" eb="3">
      <t>コウモクメイ</t>
    </rPh>
    <phoneticPr fontId="4"/>
  </si>
  <si>
    <t>対象テーブル</t>
    <rPh sb="0" eb="2">
      <t>タイショウ</t>
    </rPh>
    <phoneticPr fontId="4"/>
  </si>
  <si>
    <t>結合条件</t>
    <rPh sb="0" eb="4">
      <t>ケツゴウジョウケン</t>
    </rPh>
    <phoneticPr fontId="3"/>
  </si>
  <si>
    <t>ー</t>
    <phoneticPr fontId="3"/>
  </si>
  <si>
    <t>条件</t>
    <rPh sb="0" eb="2">
      <t>ジョウケン</t>
    </rPh>
    <phoneticPr fontId="3"/>
  </si>
  <si>
    <t>グループ</t>
    <phoneticPr fontId="3"/>
  </si>
  <si>
    <t>ソート順</t>
    <rPh sb="3" eb="4">
      <t>ジュン</t>
    </rPh>
    <phoneticPr fontId="3"/>
  </si>
  <si>
    <t>入力項目チェック仕様説明書</t>
    <rPh sb="0" eb="2">
      <t>ニュウリョク</t>
    </rPh>
    <rPh sb="2" eb="4">
      <t>コウモク</t>
    </rPh>
    <rPh sb="8" eb="10">
      <t>シヨウ</t>
    </rPh>
    <rPh sb="10" eb="13">
      <t>セツメイショ</t>
    </rPh>
    <phoneticPr fontId="4"/>
  </si>
  <si>
    <t>SS1-2-16</t>
    <phoneticPr fontId="4"/>
  </si>
  <si>
    <t>項番</t>
    <phoneticPr fontId="4"/>
  </si>
  <si>
    <t>DD-ID</t>
    <phoneticPr fontId="4"/>
  </si>
  <si>
    <t>入力項目名</t>
    <rPh sb="0" eb="2">
      <t>ニュウリョク</t>
    </rPh>
    <rPh sb="2" eb="4">
      <t>コウモク</t>
    </rPh>
    <rPh sb="4" eb="5">
      <t>メイ</t>
    </rPh>
    <phoneticPr fontId="4"/>
  </si>
  <si>
    <t>単項目チェック</t>
    <rPh sb="0" eb="1">
      <t>タン</t>
    </rPh>
    <rPh sb="1" eb="3">
      <t>コウモク</t>
    </rPh>
    <phoneticPr fontId="4"/>
  </si>
  <si>
    <t>その他チェック</t>
    <rPh sb="2" eb="3">
      <t>タ</t>
    </rPh>
    <phoneticPr fontId="4"/>
  </si>
  <si>
    <t>必須区分</t>
    <rPh sb="0" eb="2">
      <t>ヒッス</t>
    </rPh>
    <rPh sb="2" eb="4">
      <t>クブン</t>
    </rPh>
    <phoneticPr fontId="4"/>
  </si>
  <si>
    <t>データ型</t>
    <rPh sb="3" eb="4">
      <t>ガタ</t>
    </rPh>
    <phoneticPr fontId="25"/>
  </si>
  <si>
    <t>桁数</t>
    <rPh sb="0" eb="2">
      <t>ケタスウ</t>
    </rPh>
    <phoneticPr fontId="25"/>
  </si>
  <si>
    <t>小数点以下
桁数</t>
    <rPh sb="0" eb="3">
      <t>ショウスウテン</t>
    </rPh>
    <rPh sb="3" eb="5">
      <t>イカ</t>
    </rPh>
    <rPh sb="6" eb="8">
      <t>ケタスウ</t>
    </rPh>
    <phoneticPr fontId="25"/>
  </si>
  <si>
    <t>範囲</t>
    <rPh sb="0" eb="2">
      <t>ハンイ</t>
    </rPh>
    <phoneticPr fontId="4"/>
  </si>
  <si>
    <t>許可文字種フラグ</t>
    <rPh sb="0" eb="2">
      <t>キョカ</t>
    </rPh>
    <rPh sb="2" eb="4">
      <t>モジ</t>
    </rPh>
    <rPh sb="4" eb="5">
      <t>シュ</t>
    </rPh>
    <phoneticPr fontId="25"/>
  </si>
  <si>
    <t>メッセージ-ID</t>
    <phoneticPr fontId="4"/>
  </si>
  <si>
    <t>エラー種別
区分</t>
    <rPh sb="3" eb="5">
      <t>シュベツ</t>
    </rPh>
    <rPh sb="6" eb="8">
      <t>クブン</t>
    </rPh>
    <phoneticPr fontId="4"/>
  </si>
  <si>
    <t>チェック内容
(項目関連チェック,マスタチェック,データ整合性チェック等)</t>
    <phoneticPr fontId="4"/>
  </si>
  <si>
    <t>最小値</t>
    <rPh sb="0" eb="3">
      <t>サイショウチ</t>
    </rPh>
    <phoneticPr fontId="4"/>
  </si>
  <si>
    <t>最大値</t>
    <rPh sb="0" eb="3">
      <t>サイダイチ</t>
    </rPh>
    <phoneticPr fontId="4"/>
  </si>
  <si>
    <t>半角の場合</t>
    <rPh sb="0" eb="2">
      <t>ハンカク</t>
    </rPh>
    <rPh sb="3" eb="5">
      <t>バアイ</t>
    </rPh>
    <phoneticPr fontId="25"/>
  </si>
  <si>
    <t>全角の場合</t>
    <rPh sb="0" eb="2">
      <t>ゼンカク</t>
    </rPh>
    <rPh sb="3" eb="5">
      <t>バアイ</t>
    </rPh>
    <phoneticPr fontId="25"/>
  </si>
  <si>
    <t>数値</t>
    <rPh sb="0" eb="2">
      <t>スウチ</t>
    </rPh>
    <phoneticPr fontId="25"/>
  </si>
  <si>
    <t>英字
小</t>
    <rPh sb="0" eb="1">
      <t>エイ</t>
    </rPh>
    <rPh sb="1" eb="2">
      <t>ジ</t>
    </rPh>
    <rPh sb="3" eb="4">
      <t>ショウ</t>
    </rPh>
    <phoneticPr fontId="25"/>
  </si>
  <si>
    <t>英字
大</t>
    <rPh sb="0" eb="1">
      <t>エイ</t>
    </rPh>
    <rPh sb="1" eb="2">
      <t>ジ</t>
    </rPh>
    <rPh sb="3" eb="4">
      <t>ダイ</t>
    </rPh>
    <phoneticPr fontId="25"/>
  </si>
  <si>
    <t>カナ</t>
    <phoneticPr fontId="25"/>
  </si>
  <si>
    <t>空白</t>
    <rPh sb="0" eb="2">
      <t>クウハク</t>
    </rPh>
    <phoneticPr fontId="25"/>
  </si>
  <si>
    <t>記号</t>
    <rPh sb="0" eb="2">
      <t>キゴウ</t>
    </rPh>
    <phoneticPr fontId="25"/>
  </si>
  <si>
    <t>改行</t>
    <rPh sb="0" eb="2">
      <t>カイギョウ</t>
    </rPh>
    <phoneticPr fontId="25"/>
  </si>
  <si>
    <t>かな</t>
    <phoneticPr fontId="25"/>
  </si>
  <si>
    <t>漢字</t>
    <rPh sb="0" eb="2">
      <t>カンジ</t>
    </rPh>
    <phoneticPr fontId="25"/>
  </si>
  <si>
    <t>外字</t>
    <rPh sb="0" eb="2">
      <t>ガイジ</t>
    </rPh>
    <phoneticPr fontId="25"/>
  </si>
  <si>
    <t>処理結果一覧</t>
    <rPh sb="0" eb="2">
      <t>ショリ</t>
    </rPh>
    <rPh sb="2" eb="4">
      <t>ケッカ</t>
    </rPh>
    <rPh sb="4" eb="6">
      <t>イチラン</t>
    </rPh>
    <phoneticPr fontId="4"/>
  </si>
  <si>
    <t>SS2-1-05</t>
    <phoneticPr fontId="4"/>
  </si>
  <si>
    <t>異常/正常</t>
    <rPh sb="0" eb="2">
      <t>イジョウ</t>
    </rPh>
    <rPh sb="3" eb="5">
      <t>セイジョウ</t>
    </rPh>
    <phoneticPr fontId="4"/>
  </si>
  <si>
    <t>プロセス番号</t>
    <rPh sb="4" eb="6">
      <t>バンゴウ</t>
    </rPh>
    <phoneticPr fontId="3"/>
  </si>
  <si>
    <t>発生条件</t>
    <rPh sb="0" eb="4">
      <t>ハッセイジョウケン</t>
    </rPh>
    <phoneticPr fontId="3"/>
  </si>
  <si>
    <t>DBロールバック有無</t>
    <rPh sb="8" eb="10">
      <t>ウム</t>
    </rPh>
    <phoneticPr fontId="3"/>
  </si>
  <si>
    <t>正常</t>
    <rPh sb="0" eb="2">
      <t>セイジョウ</t>
    </rPh>
    <phoneticPr fontId="3"/>
  </si>
  <si>
    <t>正常終了したとき</t>
    <rPh sb="0" eb="4">
      <t>セイジョウシュウリョウ</t>
    </rPh>
    <phoneticPr fontId="3"/>
  </si>
  <si>
    <t>無</t>
    <rPh sb="0" eb="1">
      <t>ナ</t>
    </rPh>
    <phoneticPr fontId="3"/>
  </si>
  <si>
    <t>異常</t>
    <rPh sb="0" eb="2">
      <t>イジョウ</t>
    </rPh>
    <phoneticPr fontId="3"/>
  </si>
  <si>
    <t>全プロセス</t>
    <phoneticPr fontId="3"/>
  </si>
  <si>
    <t>Exception発生時</t>
    <rPh sb="9" eb="12">
      <t>ハッセイジ</t>
    </rPh>
    <phoneticPr fontId="3"/>
  </si>
  <si>
    <t>トランザクション範囲内：有</t>
    <rPh sb="8" eb="11">
      <t>ハンイナイ</t>
    </rPh>
    <rPh sb="12" eb="13">
      <t>アリ</t>
    </rPh>
    <phoneticPr fontId="3"/>
  </si>
  <si>
    <t>引継実施予定日が本日のレコードをすべて取得</t>
    <rPh sb="0" eb="2">
      <t>ヒキツギ</t>
    </rPh>
    <rPh sb="2" eb="4">
      <t>ジッシ</t>
    </rPh>
    <rPh sb="4" eb="6">
      <t>ヨテイ</t>
    </rPh>
    <rPh sb="6" eb="7">
      <t>ビ</t>
    </rPh>
    <rPh sb="8" eb="10">
      <t>ホンジツ</t>
    </rPh>
    <rPh sb="19" eb="21">
      <t>シュトク</t>
    </rPh>
    <phoneticPr fontId="3"/>
  </si>
  <si>
    <t>取得した引継対象リストについて、</t>
    <rPh sb="0" eb="2">
      <t>シュトク</t>
    </rPh>
    <rPh sb="4" eb="6">
      <t>ヒキツ</t>
    </rPh>
    <rPh sb="5" eb="6">
      <t>トリヒキ</t>
    </rPh>
    <rPh sb="6" eb="8">
      <t>タイショウ</t>
    </rPh>
    <phoneticPr fontId="3"/>
  </si>
  <si>
    <t>法人番号</t>
    <rPh sb="0" eb="3">
      <t>ホウジンバンゴウ</t>
    </rPh>
    <phoneticPr fontId="3"/>
  </si>
  <si>
    <t>営業担当引継情報</t>
    <rPh sb="0" eb="2">
      <t>エイギョウ</t>
    </rPh>
    <rPh sb="2" eb="4">
      <t>タントウ</t>
    </rPh>
    <rPh sb="4" eb="6">
      <t>ヒキツ</t>
    </rPh>
    <rPh sb="6" eb="8">
      <t>ジョウホウ</t>
    </rPh>
    <phoneticPr fontId="3"/>
  </si>
  <si>
    <t>-</t>
    <phoneticPr fontId="3"/>
  </si>
  <si>
    <t>①登録日時 昇順
②更新日時 昇順</t>
    <rPh sb="1" eb="5">
      <t>トウロクニチジ</t>
    </rPh>
    <rPh sb="6" eb="8">
      <t>ショウジュン</t>
    </rPh>
    <rPh sb="10" eb="14">
      <t>コウシンニチジ</t>
    </rPh>
    <rPh sb="15" eb="17">
      <t>ショウジュン</t>
    </rPh>
    <phoneticPr fontId="3"/>
  </si>
  <si>
    <t>DELETE</t>
    <phoneticPr fontId="4"/>
  </si>
  <si>
    <t>DELETE</t>
    <phoneticPr fontId="3"/>
  </si>
  <si>
    <t>営業担当引継情報</t>
    <rPh sb="0" eb="8">
      <t>エイギョウタントウヒキツギジョウホウ</t>
    </rPh>
    <phoneticPr fontId="3"/>
  </si>
  <si>
    <t>FROM</t>
    <phoneticPr fontId="3"/>
  </si>
  <si>
    <t>WHERE</t>
    <phoneticPr fontId="3"/>
  </si>
  <si>
    <t>2. 引継対象の取得</t>
    <rPh sb="3" eb="7">
      <t>ヒキツギタイショウ</t>
    </rPh>
    <rPh sb="8" eb="10">
      <t>シュトク</t>
    </rPh>
    <phoneticPr fontId="3"/>
  </si>
  <si>
    <t>※Exception発生時は、後続処理をSKIPして「11. 終了」へ</t>
    <rPh sb="10" eb="13">
      <t>ハッセイジ</t>
    </rPh>
    <rPh sb="15" eb="19">
      <t>コウゾクショリ</t>
    </rPh>
    <rPh sb="31" eb="33">
      <t>シュウリョウ</t>
    </rPh>
    <phoneticPr fontId="3"/>
  </si>
  <si>
    <t>引継対象の取得</t>
    <rPh sb="0" eb="4">
      <t>ヒキツギタイショウ</t>
    </rPh>
    <rPh sb="5" eb="7">
      <t>シュトク</t>
    </rPh>
    <phoneticPr fontId="3"/>
  </si>
  <si>
    <t>引継元担当者ID</t>
    <rPh sb="0" eb="2">
      <t>ヒキツ</t>
    </rPh>
    <rPh sb="2" eb="3">
      <t>モト</t>
    </rPh>
    <rPh sb="3" eb="6">
      <t>タントウシャ</t>
    </rPh>
    <phoneticPr fontId="3"/>
  </si>
  <si>
    <t>SELECT</t>
    <phoneticPr fontId="3"/>
  </si>
  <si>
    <t>営業担当引継情報.引継実施ステータス = "1",</t>
    <rPh sb="0" eb="6">
      <t>エイギョウタントウヒキツギ</t>
    </rPh>
    <rPh sb="6" eb="8">
      <t>ジョウホウ</t>
    </rPh>
    <rPh sb="9" eb="13">
      <t>ヒキツギジッシ</t>
    </rPh>
    <phoneticPr fontId="3"/>
  </si>
  <si>
    <t xml:space="preserve">営業担当引継情報.法人番号, </t>
    <rPh sb="0" eb="8">
      <t>エイギョウタントウヒキツギジョウホウ</t>
    </rPh>
    <rPh sb="9" eb="13">
      <t>ホウジンバンゴウ</t>
    </rPh>
    <phoneticPr fontId="3"/>
  </si>
  <si>
    <t>UPDATE</t>
    <phoneticPr fontId="4"/>
  </si>
  <si>
    <t>引継実施ステータス更新</t>
    <rPh sb="0" eb="4">
      <t>ヒキツギジッシ</t>
    </rPh>
    <rPh sb="9" eb="11">
      <t>コウシン</t>
    </rPh>
    <phoneticPr fontId="3"/>
  </si>
  <si>
    <t>引継実施ステータス更新（エラー時）</t>
    <rPh sb="0" eb="4">
      <t>ヒキツギジッシ</t>
    </rPh>
    <rPh sb="9" eb="11">
      <t>コウシン</t>
    </rPh>
    <rPh sb="15" eb="16">
      <t>ジ</t>
    </rPh>
    <phoneticPr fontId="3"/>
  </si>
  <si>
    <t>組織ID</t>
    <phoneticPr fontId="3"/>
  </si>
  <si>
    <t>担当者ユーザーID</t>
    <rPh sb="0" eb="2">
      <t>タントウシャ</t>
    </rPh>
    <phoneticPr fontId="3"/>
  </si>
  <si>
    <t>担当者情報マスタ</t>
    <rPh sb="0" eb="3">
      <t>タントウシャ</t>
    </rPh>
    <rPh sb="3" eb="5">
      <t>ジョウホウ</t>
    </rPh>
    <phoneticPr fontId="3"/>
  </si>
  <si>
    <t>組織IDを引継先担当者組織ID、</t>
    <rPh sb="0" eb="2">
      <t>ソシキ</t>
    </rPh>
    <rPh sb="5" eb="7">
      <t>ヒキツギ</t>
    </rPh>
    <rPh sb="7" eb="8">
      <t>サキ</t>
    </rPh>
    <rPh sb="11" eb="13">
      <t>ソシキ</t>
    </rPh>
    <phoneticPr fontId="3"/>
  </si>
  <si>
    <t>担当者ユーザーIDを引継先ユーザーIDに更新する。</t>
    <phoneticPr fontId="3"/>
  </si>
  <si>
    <t>担当者情報マスタ更新</t>
    <rPh sb="3" eb="5">
      <t>ジョウホウ</t>
    </rPh>
    <rPh sb="8" eb="10">
      <t>コウシン</t>
    </rPh>
    <phoneticPr fontId="3"/>
  </si>
  <si>
    <t>UPDATE</t>
    <phoneticPr fontId="3"/>
  </si>
  <si>
    <t>SET</t>
    <phoneticPr fontId="3"/>
  </si>
  <si>
    <t>建物マスタ</t>
    <rPh sb="0" eb="2">
      <t>タテモノ</t>
    </rPh>
    <phoneticPr fontId="3"/>
  </si>
  <si>
    <t>CN対策実施申込情報</t>
    <rPh sb="2" eb="4">
      <t>タイサク</t>
    </rPh>
    <rPh sb="4" eb="6">
      <t>ジッシ</t>
    </rPh>
    <rPh sb="6" eb="8">
      <t>モウシコミ</t>
    </rPh>
    <rPh sb="8" eb="10">
      <t>ジョウホウ</t>
    </rPh>
    <phoneticPr fontId="3"/>
  </si>
  <si>
    <t>CN対策実施申込情報</t>
    <phoneticPr fontId="3"/>
  </si>
  <si>
    <t>建物情報</t>
    <rPh sb="0" eb="4">
      <t>タテモノジョウホウ</t>
    </rPh>
    <phoneticPr fontId="3"/>
  </si>
  <si>
    <t>建物情報</t>
    <rPh sb="0" eb="2">
      <t>タテモノ</t>
    </rPh>
    <rPh sb="2" eb="4">
      <t>ジョウホウ</t>
    </rPh>
    <phoneticPr fontId="3"/>
  </si>
  <si>
    <t>月別建物エネルギー情報</t>
    <rPh sb="0" eb="2">
      <t>ツキベツ</t>
    </rPh>
    <rPh sb="2" eb="4">
      <t>タテモノ</t>
    </rPh>
    <rPh sb="9" eb="11">
      <t>ジョウホウ</t>
    </rPh>
    <phoneticPr fontId="3"/>
  </si>
  <si>
    <t>年度別建物エネルギー情報</t>
    <rPh sb="0" eb="2">
      <t>ネンド</t>
    </rPh>
    <rPh sb="2" eb="3">
      <t>ベツ</t>
    </rPh>
    <rPh sb="3" eb="5">
      <t>タテモノ</t>
    </rPh>
    <rPh sb="10" eb="12">
      <t>ジョウホウ</t>
    </rPh>
    <phoneticPr fontId="3"/>
  </si>
  <si>
    <t>月別法人エネルギー情報</t>
    <rPh sb="0" eb="2">
      <t>ツキベツ</t>
    </rPh>
    <rPh sb="2" eb="4">
      <t>ホウジン</t>
    </rPh>
    <rPh sb="9" eb="11">
      <t>ジョウホウ</t>
    </rPh>
    <phoneticPr fontId="3"/>
  </si>
  <si>
    <t>年度別法人エネルギー情報</t>
    <rPh sb="0" eb="2">
      <t>ネンド</t>
    </rPh>
    <rPh sb="2" eb="3">
      <t>ベツ</t>
    </rPh>
    <rPh sb="3" eb="5">
      <t>ホウジン</t>
    </rPh>
    <rPh sb="10" eb="12">
      <t>ジョウホウ</t>
    </rPh>
    <phoneticPr fontId="3"/>
  </si>
  <si>
    <t>レポート格納情報</t>
    <rPh sb="4" eb="8">
      <t>カクノウジョウホウ</t>
    </rPh>
    <phoneticPr fontId="3"/>
  </si>
  <si>
    <t>月別建物エネルギー情報</t>
    <phoneticPr fontId="3"/>
  </si>
  <si>
    <t>引継実施ステータス</t>
    <rPh sb="0" eb="2">
      <t>ヒキツ</t>
    </rPh>
    <rPh sb="2" eb="4">
      <t>ジッシ</t>
    </rPh>
    <phoneticPr fontId="3"/>
  </si>
  <si>
    <t>"3"</t>
    <phoneticPr fontId="3"/>
  </si>
  <si>
    <t>3: 登録エラー</t>
    <rPh sb="3" eb="5">
      <t>トウロク</t>
    </rPh>
    <phoneticPr fontId="3"/>
  </si>
  <si>
    <t>法人番号ごとにループ</t>
    <rPh sb="0" eb="4">
      <t>ホウジンバンゴウ</t>
    </rPh>
    <phoneticPr fontId="3"/>
  </si>
  <si>
    <t>引継実施予定日が本日のものに対して引継ぎを実行する</t>
    <rPh sb="4" eb="6">
      <t>ヨテイ</t>
    </rPh>
    <rPh sb="6" eb="7">
      <t>ビ</t>
    </rPh>
    <rPh sb="8" eb="10">
      <t>ホンジツ</t>
    </rPh>
    <phoneticPr fontId="3"/>
  </si>
  <si>
    <t>引継先担当者ID</t>
    <rPh sb="0" eb="1">
      <t>ヒキツギ</t>
    </rPh>
    <rPh sb="1" eb="2">
      <t>サキ</t>
    </rPh>
    <rPh sb="2" eb="5">
      <t>タントウシャ</t>
    </rPh>
    <phoneticPr fontId="3"/>
  </si>
  <si>
    <t>営業担当引継情報.引継先担当者ID</t>
    <rPh sb="0" eb="8">
      <t>エイギョウタントウヒキツギジョウホウ</t>
    </rPh>
    <rPh sb="9" eb="11">
      <t>ヒキツギ</t>
    </rPh>
    <rPh sb="11" eb="12">
      <t>サキ</t>
    </rPh>
    <rPh sb="12" eb="15">
      <t>タントウシャ</t>
    </rPh>
    <phoneticPr fontId="3"/>
  </si>
  <si>
    <t>引継先組織ID</t>
    <rPh sb="0" eb="1">
      <t>ヒキツギ</t>
    </rPh>
    <rPh sb="1" eb="2">
      <t>サキ</t>
    </rPh>
    <rPh sb="2" eb="3">
      <t>サキ</t>
    </rPh>
    <rPh sb="3" eb="5">
      <t>ソシキ</t>
    </rPh>
    <phoneticPr fontId="3"/>
  </si>
  <si>
    <t>営業担当引継情報.引継元担当者ID,</t>
    <rPh sb="0" eb="8">
      <t>エイギョウタントウヒキツギジョウホウ</t>
    </rPh>
    <rPh sb="9" eb="12">
      <t>ヒキツギモト</t>
    </rPh>
    <rPh sb="12" eb="15">
      <t>タントウシャ</t>
    </rPh>
    <phoneticPr fontId="3"/>
  </si>
  <si>
    <t>営業担当引継情報.引継先組織ID,</t>
    <rPh sb="0" eb="8">
      <t>エイギョウタントウヒキツギジョウホウ</t>
    </rPh>
    <rPh sb="9" eb="11">
      <t>ヒキツギ</t>
    </rPh>
    <rPh sb="11" eb="12">
      <t>サキ</t>
    </rPh>
    <rPh sb="12" eb="14">
      <t>ソシキ</t>
    </rPh>
    <phoneticPr fontId="3"/>
  </si>
  <si>
    <t>レポート格納情報.法人番号 = corporate_number;</t>
    <rPh sb="9" eb="13">
      <t>ホウジンバンゴウ</t>
    </rPh>
    <phoneticPr fontId="3"/>
  </si>
  <si>
    <t>営業担当引継情報.法人番号</t>
    <phoneticPr fontId="3"/>
  </si>
  <si>
    <t>営業担当引継情報.引継元担当者ID</t>
    <rPh sb="9" eb="11">
      <t>ヒキツギ</t>
    </rPh>
    <rPh sb="11" eb="12">
      <t>モト</t>
    </rPh>
    <rPh sb="12" eb="15">
      <t>タントウシャ</t>
    </rPh>
    <phoneticPr fontId="3"/>
  </si>
  <si>
    <t>営業担当引継情報.引継先組織ID</t>
    <rPh sb="9" eb="12">
      <t>ヒキツギサキ</t>
    </rPh>
    <rPh sb="12" eb="14">
      <t>ソシキ</t>
    </rPh>
    <phoneticPr fontId="3"/>
  </si>
  <si>
    <t>営業担当引継情報.引継先担当者ID</t>
    <rPh sb="9" eb="11">
      <t>ヒキツギ</t>
    </rPh>
    <rPh sb="11" eb="12">
      <t>サキ</t>
    </rPh>
    <rPh sb="12" eb="15">
      <t>タントウシャ</t>
    </rPh>
    <phoneticPr fontId="3"/>
  </si>
  <si>
    <t>拠点・エネルギーデータ、レポート情報
の組織IDの更新</t>
    <phoneticPr fontId="3"/>
  </si>
  <si>
    <t>"0"</t>
    <phoneticPr fontId="3"/>
  </si>
  <si>
    <t>0: 完了 1：予定</t>
    <rPh sb="3" eb="5">
      <t>カンリョウ</t>
    </rPh>
    <rPh sb="8" eb="10">
      <t>ヨテイ</t>
    </rPh>
    <phoneticPr fontId="3"/>
  </si>
  <si>
    <t>登録日が古い方はレコードを物理削除する</t>
    <rPh sb="0" eb="2">
      <t>トウロク</t>
    </rPh>
    <rPh sb="2" eb="3">
      <t>ビ</t>
    </rPh>
    <rPh sb="4" eb="5">
      <t>フル</t>
    </rPh>
    <rPh sb="6" eb="7">
      <t>ホウ</t>
    </rPh>
    <rPh sb="13" eb="15">
      <t>ブツリ</t>
    </rPh>
    <rPh sb="15" eb="17">
      <t>サクジョ</t>
    </rPh>
    <phoneticPr fontId="3"/>
  </si>
  <si>
    <t>1. バッチ実行年月日取得</t>
    <rPh sb="6" eb="8">
      <t>ジッコウ</t>
    </rPh>
    <rPh sb="8" eb="11">
      <t>ネンガッピ</t>
    </rPh>
    <rPh sb="11" eb="13">
      <t>シュトク</t>
    </rPh>
    <phoneticPr fontId="3"/>
  </si>
  <si>
    <t>バッチ実行日時を取得する</t>
    <rPh sb="3" eb="5">
      <t>ジッコウ</t>
    </rPh>
    <rPh sb="5" eb="7">
      <t>ニチジ</t>
    </rPh>
    <rPh sb="8" eb="10">
      <t>シュトク</t>
    </rPh>
    <phoneticPr fontId="3"/>
  </si>
  <si>
    <t>バッチ実行年月日取得</t>
    <rPh sb="3" eb="5">
      <t>ジッコウ</t>
    </rPh>
    <rPh sb="5" eb="8">
      <t>ネンガッピ</t>
    </rPh>
    <rPh sb="8" eb="10">
      <t>シュトク</t>
    </rPh>
    <phoneticPr fontId="4"/>
  </si>
  <si>
    <t>項目名</t>
    <rPh sb="0" eb="2">
      <t>コウモク</t>
    </rPh>
    <rPh sb="2" eb="3">
      <t>メイ</t>
    </rPh>
    <phoneticPr fontId="4"/>
  </si>
  <si>
    <t>バッチ実行年月日</t>
    <rPh sb="2" eb="4">
      <t>ジッコウ</t>
    </rPh>
    <rPh sb="5" eb="8">
      <t>ネンガッピ</t>
    </rPh>
    <phoneticPr fontId="4"/>
  </si>
  <si>
    <t>バッチの実行年月日
※実行時に引数が渡されている場合は引数を設定する</t>
    <rPh sb="3" eb="5">
      <t>ジッコウ</t>
    </rPh>
    <rPh sb="6" eb="9">
      <t>ネンガッピ</t>
    </rPh>
    <rPh sb="11" eb="14">
      <t>ジッコウジ</t>
    </rPh>
    <rPh sb="15" eb="17">
      <t>ヒキスウ</t>
    </rPh>
    <rPh sb="18" eb="19">
      <t>ワタ</t>
    </rPh>
    <rPh sb="24" eb="26">
      <t>バアイ</t>
    </rPh>
    <rPh sb="27" eb="29">
      <t>ヒキスウ</t>
    </rPh>
    <rPh sb="30" eb="32">
      <t>セッテイ</t>
    </rPh>
    <phoneticPr fontId="3"/>
  </si>
  <si>
    <t>バッチ実行時に取得。
パラメータ無しでは当日、パラメータ有りでは指定の日付。</t>
    <rPh sb="2" eb="4">
      <t>ジッコウ</t>
    </rPh>
    <rPh sb="4" eb="5">
      <t>ジ</t>
    </rPh>
    <rPh sb="6" eb="8">
      <t>シュトク</t>
    </rPh>
    <phoneticPr fontId="3"/>
  </si>
  <si>
    <t>引継元組織ID</t>
    <rPh sb="0" eb="2">
      <t>ヒキツ</t>
    </rPh>
    <rPh sb="2" eb="3">
      <t>モト</t>
    </rPh>
    <rPh sb="3" eb="5">
      <t>ソシキ</t>
    </rPh>
    <phoneticPr fontId="3"/>
  </si>
  <si>
    <t>営業担当引継情報.引継元組織ID</t>
    <rPh sb="9" eb="11">
      <t>ヒキツギ</t>
    </rPh>
    <rPh sb="11" eb="12">
      <t>モト</t>
    </rPh>
    <rPh sb="12" eb="14">
      <t>ソシキ</t>
    </rPh>
    <phoneticPr fontId="3"/>
  </si>
  <si>
    <t>営業担当引継情報.引継元組織ID,</t>
    <rPh sb="0" eb="8">
      <t>エイギョウタントウヒキツギジョウホウ</t>
    </rPh>
    <rPh sb="9" eb="11">
      <t>ヒキツギ</t>
    </rPh>
    <rPh sb="11" eb="12">
      <t>モト</t>
    </rPh>
    <rPh sb="12" eb="14">
      <t>ソシキ</t>
    </rPh>
    <phoneticPr fontId="3"/>
  </si>
  <si>
    <t>営業担当引継情報.過去データ引継ぎフラグ</t>
    <rPh sb="0" eb="8">
      <t>エイギョウタントウヒキツギジョウホウ</t>
    </rPh>
    <rPh sb="9" eb="11">
      <t>カコ</t>
    </rPh>
    <rPh sb="14" eb="16">
      <t>ヒキツ</t>
    </rPh>
    <phoneticPr fontId="3"/>
  </si>
  <si>
    <t xml:space="preserve">AND </t>
    <phoneticPr fontId="3"/>
  </si>
  <si>
    <t>担当者情報マスタ.法人番号 = corporate_number</t>
    <rPh sb="0" eb="3">
      <t>タントウシャ</t>
    </rPh>
    <rPh sb="3" eb="5">
      <t>ジョウホウ</t>
    </rPh>
    <rPh sb="9" eb="13">
      <t>ホウジンバンゴウ</t>
    </rPh>
    <phoneticPr fontId="3"/>
  </si>
  <si>
    <t>営業担当引継情報</t>
    <rPh sb="0" eb="4">
      <t>エイギョウタントウ</t>
    </rPh>
    <rPh sb="4" eb="8">
      <t>ヒキツギジョウホウ</t>
    </rPh>
    <phoneticPr fontId="3"/>
  </si>
  <si>
    <t>2.引継先担当者ID</t>
    <phoneticPr fontId="3"/>
  </si>
  <si>
    <t>担当者情報マスタ.担当者ユーザーID = 2.引継先担当者ID</t>
    <rPh sb="0" eb="3">
      <t>タントウシャ</t>
    </rPh>
    <rPh sb="3" eb="5">
      <t>ジョウホウ</t>
    </rPh>
    <rPh sb="9" eb="12">
      <t>タントウシャ</t>
    </rPh>
    <phoneticPr fontId="3"/>
  </si>
  <si>
    <t>担当者情報マスタ.担当者ユーザーID = 2.引継元担当者ID;</t>
    <rPh sb="0" eb="3">
      <t>タントウシャ</t>
    </rPh>
    <rPh sb="3" eb="5">
      <t>ジョウホウ</t>
    </rPh>
    <rPh sb="9" eb="12">
      <t>タントウシャ</t>
    </rPh>
    <phoneticPr fontId="3"/>
  </si>
  <si>
    <t>2.引継先組織ID</t>
    <rPh sb="2" eb="4">
      <t>ヒキツギ</t>
    </rPh>
    <rPh sb="4" eb="5">
      <t>サキ</t>
    </rPh>
    <phoneticPr fontId="3"/>
  </si>
  <si>
    <t>月別建物エネルギー情報.組織ID = 2.引継先組織ID</t>
    <rPh sb="12" eb="14">
      <t>ソシキ</t>
    </rPh>
    <rPh sb="16" eb="18">
      <t>ドウソシキエイギョウ</t>
    </rPh>
    <phoneticPr fontId="3"/>
  </si>
  <si>
    <t>年度別建物エネルギー情報.組織ID = 2.引継先組織ID</t>
    <rPh sb="13" eb="15">
      <t>ソシキ</t>
    </rPh>
    <rPh sb="17" eb="19">
      <t>ドウソシキエイギョウ</t>
    </rPh>
    <phoneticPr fontId="3"/>
  </si>
  <si>
    <t>月別法人エネルギー情報.組織ID = 2.引継先組織ID</t>
    <rPh sb="12" eb="14">
      <t>ソシキ</t>
    </rPh>
    <rPh sb="16" eb="18">
      <t>ドウソシキエイギョウ</t>
    </rPh>
    <phoneticPr fontId="3"/>
  </si>
  <si>
    <t>年度別法人エネルギー情報.組織ID = 2.引継先組織ID</t>
    <rPh sb="13" eb="15">
      <t>ソシキ</t>
    </rPh>
    <rPh sb="17" eb="19">
      <t>ドウソシキエイギョウ</t>
    </rPh>
    <phoneticPr fontId="3"/>
  </si>
  <si>
    <t>レポート格納情報.組織ID = 2.引継先組織ID</t>
    <rPh sb="9" eb="11">
      <t>ソシキ</t>
    </rPh>
    <rPh sb="13" eb="15">
      <t>ドウソシキエイギョウ</t>
    </rPh>
    <phoneticPr fontId="3"/>
  </si>
  <si>
    <t>建物マスタ.同意書取得組織 = 2.引継先組織ID</t>
    <rPh sb="0" eb="2">
      <t>タテモノ</t>
    </rPh>
    <rPh sb="6" eb="9">
      <t>ドウイショ</t>
    </rPh>
    <rPh sb="9" eb="11">
      <t>シュトク</t>
    </rPh>
    <rPh sb="11" eb="13">
      <t>ソシキエイギョウ</t>
    </rPh>
    <phoneticPr fontId="3"/>
  </si>
  <si>
    <t>CN対策実施申込情報.組織ID = 2.引継先組織ID</t>
    <rPh sb="11" eb="13">
      <t>ソシキ</t>
    </rPh>
    <rPh sb="15" eb="17">
      <t>ドウソシキエイギョウ</t>
    </rPh>
    <phoneticPr fontId="3"/>
  </si>
  <si>
    <t>建物情報.組織ID = 2.引継先組織ID</t>
    <rPh sb="0" eb="4">
      <t>タテモノジョウホウ</t>
    </rPh>
    <rPh sb="5" eb="7">
      <t>ソシキ</t>
    </rPh>
    <rPh sb="9" eb="11">
      <t>ドウソシキエイギョウ</t>
    </rPh>
    <phoneticPr fontId="3"/>
  </si>
  <si>
    <t>法人番号ごとにループ
過去データ引継ぎフラグ=Trueのもののみ実行</t>
    <rPh sb="0" eb="4">
      <t>ホウジンバンゴウ</t>
    </rPh>
    <rPh sb="11" eb="13">
      <t>カコ</t>
    </rPh>
    <rPh sb="16" eb="18">
      <t>ヒキツ</t>
    </rPh>
    <rPh sb="32" eb="34">
      <t>ジッコウ</t>
    </rPh>
    <phoneticPr fontId="3"/>
  </si>
  <si>
    <t>担当者情報マスタ.法人番号 = リストからループで取得した法人番号
担当者情報マスタ.担当者ユーザーID = 2.引継元担当者ID</t>
    <rPh sb="0" eb="2">
      <t>タントウシャ</t>
    </rPh>
    <rPh sb="2" eb="4">
      <t>ジョウホウ</t>
    </rPh>
    <rPh sb="8" eb="12">
      <t>ホウジンバンゴウ</t>
    </rPh>
    <rPh sb="25" eb="27">
      <t>シュトク</t>
    </rPh>
    <rPh sb="29" eb="33">
      <t>ホウジンバンゴウ</t>
    </rPh>
    <phoneticPr fontId="3"/>
  </si>
  <si>
    <t>SELECT 担当者ユーザーID FROM 担当者情報マスタ</t>
    <rPh sb="7" eb="10">
      <t>タントウシャ</t>
    </rPh>
    <rPh sb="22" eb="25">
      <t>タントウシャ</t>
    </rPh>
    <rPh sb="25" eb="27">
      <t>ジョウホウ</t>
    </rPh>
    <phoneticPr fontId="3"/>
  </si>
  <si>
    <t>);</t>
    <phoneticPr fontId="3"/>
  </si>
  <si>
    <t>2.引継元担当者ID NOT IN (</t>
    <rPh sb="2" eb="4">
      <t>ヒキツギ</t>
    </rPh>
    <rPh sb="4" eb="5">
      <t>モト</t>
    </rPh>
    <rPh sb="5" eb="8">
      <t>タントウシャ</t>
    </rPh>
    <phoneticPr fontId="3"/>
  </si>
  <si>
    <t>2.引継元担当者ID NOT IN (SELECT 担当者ユーザーID FROM 担当者情報マスタ)</t>
    <phoneticPr fontId="3"/>
  </si>
  <si>
    <t>3．引継元担当者IDが</t>
    <phoneticPr fontId="4"/>
  </si>
  <si>
    <t>担当者情報マスタTBLの担当者ユーザーIDに存在する</t>
    <phoneticPr fontId="3"/>
  </si>
  <si>
    <t>引継元担当者IDが</t>
    <phoneticPr fontId="3"/>
  </si>
  <si>
    <t>担当者情報マスタTBLの担当者ユーザーIDに存在しない場合、</t>
    <rPh sb="27" eb="29">
      <t>バアイ</t>
    </rPh>
    <phoneticPr fontId="3"/>
  </si>
  <si>
    <t>営業担当引継情報TBLのレコードを削除する。</t>
    <rPh sb="0" eb="4">
      <t>エイギョウタントウ</t>
    </rPh>
    <rPh sb="4" eb="6">
      <t>ヒキツ</t>
    </rPh>
    <rPh sb="6" eb="8">
      <t>ジョウホウ</t>
    </rPh>
    <rPh sb="17" eb="19">
      <t>サクジョ</t>
    </rPh>
    <phoneticPr fontId="3"/>
  </si>
  <si>
    <t>4．担当者情報マスタ更新</t>
    <rPh sb="2" eb="5">
      <t>タントウシャ</t>
    </rPh>
    <rPh sb="5" eb="7">
      <t>ジョウホウ</t>
    </rPh>
    <rPh sb="10" eb="12">
      <t>コウシン</t>
    </rPh>
    <phoneticPr fontId="4"/>
  </si>
  <si>
    <t>AND</t>
    <phoneticPr fontId="3"/>
  </si>
  <si>
    <t>建物マスタ.同意書取得組織 = 2.引継元組織ID;</t>
    <rPh sb="0" eb="2">
      <t>タテモノ</t>
    </rPh>
    <rPh sb="6" eb="9">
      <t>ドウイショ</t>
    </rPh>
    <rPh sb="9" eb="11">
      <t>シュトク</t>
    </rPh>
    <rPh sb="11" eb="13">
      <t>ソシキエイギョウ</t>
    </rPh>
    <rPh sb="20" eb="21">
      <t>モト</t>
    </rPh>
    <phoneticPr fontId="3"/>
  </si>
  <si>
    <t>CN対策実施申込情報.組織ID = 2.引継元組織ID;</t>
    <rPh sb="11" eb="13">
      <t>ソシキ</t>
    </rPh>
    <rPh sb="15" eb="17">
      <t>ドウソシキ</t>
    </rPh>
    <rPh sb="22" eb="23">
      <t>モト</t>
    </rPh>
    <phoneticPr fontId="3"/>
  </si>
  <si>
    <t>CN対策実施申込情報.法人番号 = corporate_number</t>
    <rPh sb="11" eb="15">
      <t>ホウジンバンゴウ</t>
    </rPh>
    <phoneticPr fontId="3"/>
  </si>
  <si>
    <t>建物情報.組織ID = 2.引継元組織ID;</t>
    <rPh sb="0" eb="2">
      <t>タテモノ</t>
    </rPh>
    <rPh sb="2" eb="4">
      <t>ジョウホウ</t>
    </rPh>
    <rPh sb="5" eb="7">
      <t>ソシキ</t>
    </rPh>
    <rPh sb="9" eb="11">
      <t>ドウソシキ</t>
    </rPh>
    <rPh sb="16" eb="17">
      <t>モト</t>
    </rPh>
    <phoneticPr fontId="3"/>
  </si>
  <si>
    <t>建物情報.法人番号 = corporate_number</t>
    <rPh sb="5" eb="9">
      <t>ホウジンバンゴウ</t>
    </rPh>
    <phoneticPr fontId="3"/>
  </si>
  <si>
    <t>月別建物エネルギー情報.組織ID = 2.引継元組織ID;</t>
    <rPh sb="12" eb="14">
      <t>ソシキ</t>
    </rPh>
    <rPh sb="16" eb="18">
      <t>ドウソシキ</t>
    </rPh>
    <rPh sb="23" eb="24">
      <t>モト</t>
    </rPh>
    <phoneticPr fontId="3"/>
  </si>
  <si>
    <t>月別建物エネルギー情報.法人番号 = corporate_number</t>
    <rPh sb="12" eb="16">
      <t>ホウジンバンゴウ</t>
    </rPh>
    <phoneticPr fontId="3"/>
  </si>
  <si>
    <t>年度別建物エネルギー情報.法人番号 = corporate_number</t>
    <rPh sb="13" eb="17">
      <t>ホウジンバンゴウ</t>
    </rPh>
    <phoneticPr fontId="3"/>
  </si>
  <si>
    <t>年度別別建物エネルギー情報.組織ID = 2.引継元組織ID;</t>
    <rPh sb="0" eb="3">
      <t>ネンドベツ</t>
    </rPh>
    <rPh sb="14" eb="16">
      <t>ソシキ</t>
    </rPh>
    <rPh sb="18" eb="20">
      <t>ドウソシキ</t>
    </rPh>
    <rPh sb="25" eb="26">
      <t>モト</t>
    </rPh>
    <phoneticPr fontId="3"/>
  </si>
  <si>
    <t>月別法人エネルギー情報.法人番号 = corporate_number</t>
    <rPh sb="12" eb="16">
      <t>ホウジンバンゴウ</t>
    </rPh>
    <phoneticPr fontId="3"/>
  </si>
  <si>
    <t>月別法人エネルギー情報.組織ID = 2.引継元組織ID;</t>
    <rPh sb="2" eb="4">
      <t>ホウジン</t>
    </rPh>
    <rPh sb="12" eb="14">
      <t>ソシキ</t>
    </rPh>
    <rPh sb="16" eb="18">
      <t>ドウソシキ</t>
    </rPh>
    <rPh sb="23" eb="24">
      <t>モト</t>
    </rPh>
    <phoneticPr fontId="3"/>
  </si>
  <si>
    <t>年度別法人エネルギー情報.組織ID = 2.引継元組織ID;</t>
    <rPh sb="0" eb="2">
      <t>ネンド</t>
    </rPh>
    <rPh sb="3" eb="5">
      <t>ホウジン</t>
    </rPh>
    <rPh sb="13" eb="15">
      <t>ソシキ</t>
    </rPh>
    <rPh sb="17" eb="19">
      <t>ドウソシキ</t>
    </rPh>
    <rPh sb="24" eb="25">
      <t>モト</t>
    </rPh>
    <phoneticPr fontId="3"/>
  </si>
  <si>
    <t>年度別法人エネルギー情報.法人番号 = corporate_number</t>
    <rPh sb="13" eb="17">
      <t>ホウジンバンゴウ</t>
    </rPh>
    <phoneticPr fontId="3"/>
  </si>
  <si>
    <t>レポート格納情報.組織ID = 2.引継元組織ID;</t>
    <rPh sb="9" eb="11">
      <t>ソシキ</t>
    </rPh>
    <rPh sb="13" eb="15">
      <t>ドウソシキ</t>
    </rPh>
    <rPh sb="20" eb="21">
      <t>モト</t>
    </rPh>
    <phoneticPr fontId="3"/>
  </si>
  <si>
    <t>担当者情報マスタTBLの担当者ユーザーIDに存在するかを確認</t>
    <rPh sb="28" eb="30">
      <t>カクニン</t>
    </rPh>
    <phoneticPr fontId="3"/>
  </si>
  <si>
    <t>該当TBLについて、法人番号=リクエスト.法人番号、組織ID=引継元組織ID</t>
    <rPh sb="0" eb="2">
      <t>ガイトウ</t>
    </rPh>
    <rPh sb="10" eb="12">
      <t>ホウジン</t>
    </rPh>
    <rPh sb="12" eb="14">
      <t>バンゴウ</t>
    </rPh>
    <rPh sb="21" eb="23">
      <t>ホウジン</t>
    </rPh>
    <rPh sb="23" eb="25">
      <t>バンゴウ</t>
    </rPh>
    <rPh sb="26" eb="28">
      <t>ソシキ</t>
    </rPh>
    <rPh sb="31" eb="33">
      <t>ヒキツギ</t>
    </rPh>
    <rPh sb="33" eb="34">
      <t>モト</t>
    </rPh>
    <rPh sb="34" eb="36">
      <t>ソシキ</t>
    </rPh>
    <phoneticPr fontId="3"/>
  </si>
  <si>
    <t>となるデータを抽出し、その中でNULLになる行を抽出。</t>
    <rPh sb="7" eb="9">
      <t>チュウシュツ</t>
    </rPh>
    <rPh sb="13" eb="14">
      <t>ナカ</t>
    </rPh>
    <rPh sb="22" eb="23">
      <t>ギョウ</t>
    </rPh>
    <rPh sb="24" eb="26">
      <t>チュウシュツ</t>
    </rPh>
    <phoneticPr fontId="3"/>
  </si>
  <si>
    <t>※ロールバックは行わない</t>
    <rPh sb="8" eb="9">
      <t>オコナ</t>
    </rPh>
    <phoneticPr fontId="3"/>
  </si>
  <si>
    <t>法人番号、引継元組織ID存在チェック</t>
    <phoneticPr fontId="3"/>
  </si>
  <si>
    <t>法人番号</t>
    <phoneticPr fontId="3"/>
  </si>
  <si>
    <t>A</t>
    <phoneticPr fontId="3"/>
  </si>
  <si>
    <t>B</t>
    <phoneticPr fontId="3"/>
  </si>
  <si>
    <t>C</t>
    <phoneticPr fontId="3"/>
  </si>
  <si>
    <t>D</t>
    <phoneticPr fontId="3"/>
  </si>
  <si>
    <t>E</t>
    <phoneticPr fontId="3"/>
  </si>
  <si>
    <t>F</t>
    <phoneticPr fontId="3"/>
  </si>
  <si>
    <t>G</t>
    <phoneticPr fontId="3"/>
  </si>
  <si>
    <t>H</t>
    <phoneticPr fontId="3"/>
  </si>
  <si>
    <t>営業担当引継情報.法人番号 = corporate_number</t>
    <rPh sb="0" eb="8">
      <t>エイギョウタントウヒキツギジョウホウ</t>
    </rPh>
    <rPh sb="9" eb="13">
      <t>ホウジンバンゴウ</t>
    </rPh>
    <phoneticPr fontId="3"/>
  </si>
  <si>
    <t>AND 営業担当引継情報.引継元組織ID = 2.引継元組織ID</t>
    <rPh sb="13" eb="18">
      <t>ヒキツギモトソシキ</t>
    </rPh>
    <rPh sb="25" eb="27">
      <t>ヒキツギ</t>
    </rPh>
    <rPh sb="27" eb="28">
      <t>モト</t>
    </rPh>
    <rPh sb="28" eb="30">
      <t>ソシキ</t>
    </rPh>
    <phoneticPr fontId="3"/>
  </si>
  <si>
    <t>AND 営業担当引継情報.引継先組織ID = 2.引継先組織ID</t>
    <rPh sb="13" eb="15">
      <t>ヒキツギ</t>
    </rPh>
    <rPh sb="15" eb="16">
      <t>サキ</t>
    </rPh>
    <rPh sb="16" eb="18">
      <t>ソシキ</t>
    </rPh>
    <rPh sb="25" eb="27">
      <t>ヒキツギ</t>
    </rPh>
    <rPh sb="27" eb="28">
      <t>サキ</t>
    </rPh>
    <rPh sb="28" eb="30">
      <t>ソシキ</t>
    </rPh>
    <phoneticPr fontId="3"/>
  </si>
  <si>
    <t>AND 営業担当引継情報.引継実施ステータス = "1"</t>
    <rPh sb="13" eb="15">
      <t>ヒキツギ</t>
    </rPh>
    <rPh sb="15" eb="17">
      <t>ジッシ</t>
    </rPh>
    <phoneticPr fontId="3"/>
  </si>
  <si>
    <t>営業担当引継情報.引継実施ステータス = "0",</t>
    <rPh sb="0" eb="8">
      <t>エイギョウタントウヒキツギジョウホウ</t>
    </rPh>
    <rPh sb="9" eb="11">
      <t>ヒキツギ</t>
    </rPh>
    <rPh sb="11" eb="13">
      <t>ジッシ</t>
    </rPh>
    <phoneticPr fontId="3"/>
  </si>
  <si>
    <t>引継実施年月日時分秒を更新。</t>
    <rPh sb="0" eb="1">
      <t>ヒキツギ</t>
    </rPh>
    <rPh sb="1" eb="3">
      <t>ジッシ</t>
    </rPh>
    <rPh sb="3" eb="6">
      <t>ネンガッピ</t>
    </rPh>
    <rPh sb="7" eb="9">
      <t>フンビョウ</t>
    </rPh>
    <rPh sb="10" eb="12">
      <t>コウシン</t>
    </rPh>
    <phoneticPr fontId="3"/>
  </si>
  <si>
    <t>営業担当引継情報.引継実施年月日時分秒 = NOW()</t>
    <rPh sb="0" eb="8">
      <t>エイギョウタントウヒキツギジョウホウ</t>
    </rPh>
    <rPh sb="9" eb="11">
      <t>ヒキツギ</t>
    </rPh>
    <rPh sb="11" eb="13">
      <t>ジッシ</t>
    </rPh>
    <rPh sb="13" eb="19">
      <t>ネンガッピジフンビョウ</t>
    </rPh>
    <phoneticPr fontId="3"/>
  </si>
  <si>
    <t>営業担当引継情報.引継実施ステータス = "3",</t>
    <rPh sb="0" eb="8">
      <t>エイギョウタントウヒキツギジョウホウ</t>
    </rPh>
    <rPh sb="9" eb="11">
      <t>ヒキツギ</t>
    </rPh>
    <rPh sb="11" eb="13">
      <t>ジッシ</t>
    </rPh>
    <phoneticPr fontId="3"/>
  </si>
  <si>
    <t>引継実施年月日時分秒</t>
    <rPh sb="0" eb="2">
      <t>ヒキツ</t>
    </rPh>
    <rPh sb="2" eb="4">
      <t>ジッシ</t>
    </rPh>
    <rPh sb="4" eb="10">
      <t>ネンガッピジフンビョウ</t>
    </rPh>
    <phoneticPr fontId="3"/>
  </si>
  <si>
    <t>NOW()</t>
    <phoneticPr fontId="3"/>
  </si>
  <si>
    <t>営業担当引継情報.引継実施ステータス = "1"
営業担当引継情報.引継実施予定日 = バッチ実行年月日</t>
    <rPh sb="0" eb="3">
      <t>エイギョウタントウ</t>
    </rPh>
    <rPh sb="3" eb="5">
      <t>ヒキツ</t>
    </rPh>
    <rPh sb="5" eb="7">
      <t>ジョウホウ</t>
    </rPh>
    <rPh sb="8" eb="10">
      <t>ヒキツ</t>
    </rPh>
    <rPh sb="10" eb="12">
      <t>ジッシ</t>
    </rPh>
    <rPh sb="36" eb="38">
      <t>ジッシ</t>
    </rPh>
    <rPh sb="38" eb="41">
      <t>ヨテイビ</t>
    </rPh>
    <rPh sb="47" eb="49">
      <t>ジッコウ</t>
    </rPh>
    <rPh sb="49" eb="52">
      <t>ネンガッピ</t>
    </rPh>
    <phoneticPr fontId="3"/>
  </si>
  <si>
    <t>営業担当引継情報.引継実施予定日 = 1.バッチ実行年月日;</t>
    <rPh sb="0" eb="6">
      <t>エイギョウタントウヒキツギ</t>
    </rPh>
    <rPh sb="6" eb="8">
      <t>ジョウホウ</t>
    </rPh>
    <rPh sb="9" eb="13">
      <t>ヒキツギジッシ</t>
    </rPh>
    <rPh sb="13" eb="16">
      <t>ヨテイビ</t>
    </rPh>
    <phoneticPr fontId="3"/>
  </si>
  <si>
    <t xml:space="preserve">営業担当引継情報.法人番号 = リストからループで取得した法人番号
営業担当引継情報.引継元組織ID = 2.引継元組織ID
営業担当引継情報.引継先組織ID = 2.引継先組織ID
営業担当引継情報.引継実施ステータス = "1"
営業担当引継情報.引継実施予定日 =  1.バッチ実行年月日
</t>
    <rPh sb="0" eb="2">
      <t>エイギョウタントウ</t>
    </rPh>
    <rPh sb="2" eb="4">
      <t>ヒキツ</t>
    </rPh>
    <rPh sb="4" eb="6">
      <t>ジョウホウ</t>
    </rPh>
    <rPh sb="8" eb="10">
      <t>ホウジン</t>
    </rPh>
    <rPh sb="10" eb="12">
      <t>バンゴウ</t>
    </rPh>
    <rPh sb="43" eb="45">
      <t>ヒキツギ</t>
    </rPh>
    <rPh sb="45" eb="46">
      <t>モト</t>
    </rPh>
    <rPh sb="46" eb="48">
      <t>ソシキ</t>
    </rPh>
    <rPh sb="55" eb="60">
      <t>ヒキツギモトソシキ</t>
    </rPh>
    <rPh sb="74" eb="75">
      <t>サキ</t>
    </rPh>
    <rPh sb="86" eb="87">
      <t>サキ</t>
    </rPh>
    <rPh sb="103" eb="105">
      <t>ジッシ</t>
    </rPh>
    <rPh sb="128" eb="130">
      <t>ジッシ</t>
    </rPh>
    <rPh sb="130" eb="133">
      <t>ヨテイビ</t>
    </rPh>
    <phoneticPr fontId="3"/>
  </si>
  <si>
    <t>AND 営業担当引継情報.引継実施予定日 =  1.バッチ実行年月日;</t>
    <rPh sb="13" eb="15">
      <t>ヒキツギ</t>
    </rPh>
    <rPh sb="15" eb="17">
      <t>ジッシ</t>
    </rPh>
    <rPh sb="17" eb="20">
      <t>ヨテイビ</t>
    </rPh>
    <phoneticPr fontId="3"/>
  </si>
  <si>
    <t>過去データ引継ぎフラグ</t>
    <rPh sb="0" eb="1">
      <t>カコ</t>
    </rPh>
    <rPh sb="4" eb="6">
      <t>ヒキツ</t>
    </rPh>
    <phoneticPr fontId="3"/>
  </si>
  <si>
    <t>営業担当引継情報.過去データ引継ぎフラグ</t>
    <rPh sb="9" eb="11">
      <t>カコ</t>
    </rPh>
    <rPh sb="14" eb="16">
      <t>ヒキツ</t>
    </rPh>
    <phoneticPr fontId="3"/>
  </si>
  <si>
    <t>5．引継情報削除</t>
    <rPh sb="2" eb="4">
      <t>ヒキツギ</t>
    </rPh>
    <rPh sb="4" eb="6">
      <t>ジョウホウ</t>
    </rPh>
    <rPh sb="6" eb="8">
      <t>サクジョ</t>
    </rPh>
    <phoneticPr fontId="4"/>
  </si>
  <si>
    <t>引継情報削除</t>
    <rPh sb="0" eb="2">
      <t>ヒキツ</t>
    </rPh>
    <rPh sb="2" eb="4">
      <t>ジョウホウ</t>
    </rPh>
    <rPh sb="4" eb="6">
      <t>サクジョ</t>
    </rPh>
    <phoneticPr fontId="3"/>
  </si>
  <si>
    <t>月別建物エネルギー情報.法人番号 = リストからループで取得した法人番号
月別建物エネルギー情報.組織ID=2.引継元組織ID
年度別建物エネルギー情報.法人番号 = リストからループで取得した法人番号
年度別建物エネルギー情報.組織ID=2.引継元組織ID
月別法人エネルギー情報.法人番号 = リストからループで取得した法人番号
月別法人エネルギー情報.組織ID=2.引継元組織ID
年度別法人エネルギー情報.法人番号 = リストからループで取得した法人番号
年度別法人エネルギー情報.組織ID=2.引継元組織ID
レポート格納情報.法人番号 = リストからループで取得した法人番号
レポート格納情報.組織ID=2.引継元組織ID
建物マスタ.法人番号 = リストからループで取得した法人番号
建物マスタ.同意書取得組織 = 2.引継元組織ID;
CN対策実施申込情報.法人番号 = リストからループで取得した法人番号
CN対策実施申込情報.組織ID=2.引継元組織ID
建物情報.法人番号 = リストからループで取得した法人番号
建物情報.組織ID=2.引継元組織ID</t>
    <rPh sb="0" eb="1">
      <t>タテモノ</t>
    </rPh>
    <rPh sb="6" eb="8">
      <t>ジョウホウ</t>
    </rPh>
    <rPh sb="9" eb="11">
      <t>ホウジン</t>
    </rPh>
    <rPh sb="11" eb="13">
      <t>バンゴウ</t>
    </rPh>
    <rPh sb="49" eb="51">
      <t>ソシキ</t>
    </rPh>
    <rPh sb="56" eb="58">
      <t>ヒキツギ</t>
    </rPh>
    <rPh sb="58" eb="59">
      <t>モト</t>
    </rPh>
    <rPh sb="59" eb="61">
      <t>ソシキ</t>
    </rPh>
    <rPh sb="103" eb="105">
      <t>ネンド</t>
    </rPh>
    <rPh sb="171" eb="173">
      <t>ホウジン</t>
    </rPh>
    <rPh sb="235" eb="237">
      <t>ネンド</t>
    </rPh>
    <rPh sb="237" eb="238">
      <t>ベツ</t>
    </rPh>
    <rPh sb="238" eb="240">
      <t>ホウジン</t>
    </rPh>
    <rPh sb="266" eb="268">
      <t>カクノウ</t>
    </rPh>
    <rPh sb="302" eb="304">
      <t>カクノウ</t>
    </rPh>
    <rPh sb="304" eb="306">
      <t>ジョウホウ</t>
    </rPh>
    <rPh sb="475" eb="477">
      <t>タテモノ</t>
    </rPh>
    <phoneticPr fontId="3"/>
  </si>
  <si>
    <t>A~HのTBL.法人番号</t>
    <rPh sb="5" eb="7">
      <t>ホウジン</t>
    </rPh>
    <rPh sb="7" eb="9">
      <t>バンゴウ</t>
    </rPh>
    <phoneticPr fontId="3"/>
  </si>
  <si>
    <t>CASE WHEN EXISTS (</t>
    <phoneticPr fontId="3"/>
  </si>
  <si>
    <t xml:space="preserve"> SELECT 1</t>
    <phoneticPr fontId="3"/>
  </si>
  <si>
    <t>) THEN 1 ELSE 0 END AS A,</t>
    <phoneticPr fontId="3"/>
  </si>
  <si>
    <t xml:space="preserve"> FROM 月別建物エネルギー情報</t>
    <phoneticPr fontId="3"/>
  </si>
  <si>
    <t xml:space="preserve"> WHERE 法人番号 = corporate_number AND 組織ID = 2.引継元組織ID</t>
    <rPh sb="7" eb="9">
      <t>ホウジン</t>
    </rPh>
    <rPh sb="9" eb="11">
      <t>バンゴウ</t>
    </rPh>
    <rPh sb="35" eb="37">
      <t>ソシキ</t>
    </rPh>
    <rPh sb="44" eb="46">
      <t>ヒキツギ</t>
    </rPh>
    <rPh sb="46" eb="47">
      <t>モト</t>
    </rPh>
    <rPh sb="47" eb="49">
      <t>ソシキ</t>
    </rPh>
    <phoneticPr fontId="3"/>
  </si>
  <si>
    <t>) THEN 1 ELSE 0 END AS B,</t>
    <phoneticPr fontId="3"/>
  </si>
  <si>
    <t xml:space="preserve"> FROM 年度別建物エネルギー情報</t>
    <rPh sb="6" eb="8">
      <t>ネンド</t>
    </rPh>
    <phoneticPr fontId="3"/>
  </si>
  <si>
    <t xml:space="preserve"> FROM 月別法人エネルギー情報</t>
    <rPh sb="6" eb="8">
      <t>ツキベツ</t>
    </rPh>
    <rPh sb="8" eb="10">
      <t>ホウジン</t>
    </rPh>
    <phoneticPr fontId="3"/>
  </si>
  <si>
    <t>) THEN 1 ELSE 0 END AS C,</t>
    <phoneticPr fontId="3"/>
  </si>
  <si>
    <t xml:space="preserve"> FROM 年度別法人エネルギー情報</t>
    <rPh sb="6" eb="8">
      <t>ネンド</t>
    </rPh>
    <rPh sb="8" eb="9">
      <t>ベツ</t>
    </rPh>
    <rPh sb="9" eb="11">
      <t>ホウジン</t>
    </rPh>
    <phoneticPr fontId="3"/>
  </si>
  <si>
    <t xml:space="preserve"> FROM レポート格納情報</t>
    <rPh sb="10" eb="12">
      <t>カクノウ</t>
    </rPh>
    <rPh sb="12" eb="14">
      <t>ジョウホウ</t>
    </rPh>
    <phoneticPr fontId="3"/>
  </si>
  <si>
    <t>) THEN 1 ELSE 0 END AS D,</t>
    <phoneticPr fontId="3"/>
  </si>
  <si>
    <t>) THEN 1 ELSE 0 END AS E,</t>
    <phoneticPr fontId="3"/>
  </si>
  <si>
    <t xml:space="preserve"> FROM 建物マスタ</t>
    <rPh sb="6" eb="8">
      <t>タテモノ</t>
    </rPh>
    <phoneticPr fontId="3"/>
  </si>
  <si>
    <t xml:space="preserve"> WHERE 法人番号 = corporate_number AND 同意書取得組織 = 2.引継元組織ID</t>
    <rPh sb="7" eb="9">
      <t>ホウジン</t>
    </rPh>
    <rPh sb="9" eb="11">
      <t>バンゴウ</t>
    </rPh>
    <rPh sb="35" eb="42">
      <t>ドウイショシュトクソシキ</t>
    </rPh>
    <rPh sb="47" eb="49">
      <t>ヒキツギ</t>
    </rPh>
    <rPh sb="49" eb="50">
      <t>モト</t>
    </rPh>
    <rPh sb="50" eb="52">
      <t>ソシキ</t>
    </rPh>
    <phoneticPr fontId="3"/>
  </si>
  <si>
    <t>) THEN 1 ELSE 0 END AS F,</t>
    <phoneticPr fontId="3"/>
  </si>
  <si>
    <t xml:space="preserve"> FROM CN対策実施申込情報</t>
    <rPh sb="8" eb="10">
      <t>タイサク</t>
    </rPh>
    <rPh sb="10" eb="12">
      <t>ジッシ</t>
    </rPh>
    <rPh sb="12" eb="14">
      <t>モウシコミ</t>
    </rPh>
    <rPh sb="14" eb="16">
      <t>ジョウホウ</t>
    </rPh>
    <phoneticPr fontId="3"/>
  </si>
  <si>
    <t>) THEN 1 ELSE 0 END AS G,</t>
    <phoneticPr fontId="3"/>
  </si>
  <si>
    <t>FROM 建物情報</t>
    <rPh sb="5" eb="7">
      <t>タテモノ</t>
    </rPh>
    <rPh sb="7" eb="9">
      <t>ジョウホウ</t>
    </rPh>
    <phoneticPr fontId="3"/>
  </si>
  <si>
    <t>) THEN 1 ELSE 0 END AS H;</t>
    <phoneticPr fontId="3"/>
  </si>
  <si>
    <t>F以外： WHERE 法人番号 = corporate_number AND 組織ID = 2.引継元組織ID
F： WHERE 法人番号 = corporate_number AND 同意書取得組織 = 2.引継元組織ID</t>
    <rPh sb="0" eb="2">
      <t>イガイ</t>
    </rPh>
    <rPh sb="92" eb="95">
      <t>ドウイショ</t>
    </rPh>
    <rPh sb="95" eb="97">
      <t>シュトク</t>
    </rPh>
    <rPh sb="97" eb="99">
      <t>ソシキ</t>
    </rPh>
    <phoneticPr fontId="3"/>
  </si>
  <si>
    <t>6. 引継先担当者IDが</t>
    <rPh sb="3" eb="5">
      <t>ヒキツギ</t>
    </rPh>
    <rPh sb="5" eb="6">
      <t>サキ</t>
    </rPh>
    <rPh sb="6" eb="9">
      <t>タントウシャ</t>
    </rPh>
    <phoneticPr fontId="3"/>
  </si>
  <si>
    <t>※3の分岐でNoの場合実施</t>
    <rPh sb="3" eb="5">
      <t>ブンキ</t>
    </rPh>
    <rPh sb="9" eb="11">
      <t>バアイ</t>
    </rPh>
    <rPh sb="11" eb="13">
      <t>ジッシ</t>
    </rPh>
    <phoneticPr fontId="3"/>
  </si>
  <si>
    <t>引継先担当者IDが</t>
    <rPh sb="2" eb="3">
      <t>サキ</t>
    </rPh>
    <phoneticPr fontId="3"/>
  </si>
  <si>
    <t>7. 過去データ引継ぎフラグ="TRUE"</t>
    <rPh sb="3" eb="5">
      <t>カコ</t>
    </rPh>
    <rPh sb="8" eb="10">
      <t>ヒキツ</t>
    </rPh>
    <phoneticPr fontId="3"/>
  </si>
  <si>
    <t>8. 法人番号、引継元組織ID存在チェック</t>
    <phoneticPr fontId="3"/>
  </si>
  <si>
    <t>9. 8で抽出したデータにNULLがない</t>
    <phoneticPr fontId="3"/>
  </si>
  <si>
    <t>10. 拠点・エネルギーデータ、レポート情報の組織IDの更新</t>
    <phoneticPr fontId="3"/>
  </si>
  <si>
    <t>9でNULLではなかった行のTBLに対して</t>
    <rPh sb="12" eb="13">
      <t>ギョウ</t>
    </rPh>
    <rPh sb="18" eb="19">
      <t>タイ</t>
    </rPh>
    <phoneticPr fontId="3"/>
  </si>
  <si>
    <t>8の建物マスタの行がNULLだった場合、エラー発生処理へ。</t>
    <rPh sb="2" eb="4">
      <t>タテモノ</t>
    </rPh>
    <rPh sb="8" eb="9">
      <t>ギョウ</t>
    </rPh>
    <rPh sb="17" eb="19">
      <t>バアイ</t>
    </rPh>
    <rPh sb="23" eb="25">
      <t>ハッセイ</t>
    </rPh>
    <rPh sb="25" eb="27">
      <t>ショリ</t>
    </rPh>
    <phoneticPr fontId="3"/>
  </si>
  <si>
    <t>11．引継実施ステータス更新</t>
    <rPh sb="3" eb="5">
      <t>ヒキツギ</t>
    </rPh>
    <rPh sb="5" eb="7">
      <t>ジッシ</t>
    </rPh>
    <rPh sb="12" eb="14">
      <t>コウシン</t>
    </rPh>
    <phoneticPr fontId="4"/>
  </si>
  <si>
    <t>12. エラー発生</t>
    <rPh sb="7" eb="9">
      <t>ハッセイ</t>
    </rPh>
    <phoneticPr fontId="3"/>
  </si>
  <si>
    <t>13. 引継ぎ実施ステータス更新（エラー時）</t>
    <rPh sb="4" eb="6">
      <t>ヒキツ</t>
    </rPh>
    <rPh sb="7" eb="9">
      <t>ジッシ</t>
    </rPh>
    <rPh sb="14" eb="16">
      <t>コウシン</t>
    </rPh>
    <rPh sb="20" eb="21">
      <t>ジ</t>
    </rPh>
    <phoneticPr fontId="3"/>
  </si>
  <si>
    <t>14. 終了</t>
    <rPh sb="4" eb="6">
      <t>シュウリョウ</t>
    </rPh>
    <phoneticPr fontId="3"/>
  </si>
  <si>
    <t>引継元担当者確認</t>
    <rPh sb="0" eb="2">
      <t>ヒキツギ</t>
    </rPh>
    <rPh sb="2" eb="3">
      <t>モト</t>
    </rPh>
    <rPh sb="3" eb="6">
      <t>タントウシャ</t>
    </rPh>
    <rPh sb="6" eb="8">
      <t>カクニン</t>
    </rPh>
    <phoneticPr fontId="3"/>
  </si>
  <si>
    <t>担当者情報マスタ.担当者ユーザーID</t>
    <rPh sb="0" eb="3">
      <t>タントウシャ</t>
    </rPh>
    <rPh sb="3" eb="5">
      <t>ジョウホウ</t>
    </rPh>
    <rPh sb="9" eb="12">
      <t>タントウシャ</t>
    </rPh>
    <phoneticPr fontId="3"/>
  </si>
  <si>
    <t>引継先担当者確認</t>
    <rPh sb="0" eb="2">
      <t>ヒキツギ</t>
    </rPh>
    <rPh sb="2" eb="3">
      <t>サキ</t>
    </rPh>
    <rPh sb="3" eb="6">
      <t>タントウシャ</t>
    </rPh>
    <rPh sb="6" eb="8">
      <t>カクニン</t>
    </rPh>
    <phoneticPr fontId="3"/>
  </si>
  <si>
    <t>担当者情報マスタ.担当者ユーザーID</t>
    <rPh sb="8" eb="11">
      <t>タントウシャ</t>
    </rPh>
    <phoneticPr fontId="3"/>
  </si>
  <si>
    <t>担当者情報マスタ.法人番号 = リストからループで取得した法人番号
担当者情報マスタ.担当者ユーザーID = 2.引継先担当者ID</t>
    <rPh sb="0" eb="2">
      <t>タントウシャ</t>
    </rPh>
    <rPh sb="2" eb="4">
      <t>ジョウホウ</t>
    </rPh>
    <rPh sb="8" eb="12">
      <t>ホウジンバンゴウ</t>
    </rPh>
    <rPh sb="25" eb="27">
      <t>シュトク</t>
    </rPh>
    <rPh sb="29" eb="33">
      <t>ホウジンバンゴウ</t>
    </rPh>
    <rPh sb="59" eb="60">
      <t>サキ</t>
    </rPh>
    <phoneticPr fontId="3"/>
  </si>
  <si>
    <t>担当者情報マスタ.担当者ユーザーID = 2.引継先担当者ID;</t>
    <rPh sb="0" eb="3">
      <t>タントウシャ</t>
    </rPh>
    <rPh sb="3" eb="5">
      <t>ジョウホウ</t>
    </rPh>
    <rPh sb="9" eb="12">
      <t>タントウシャ</t>
    </rPh>
    <rPh sb="25" eb="26">
      <t>サキ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</si>
</sst>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&quot;年&quot;mm&quot;月&quot;dd&quot;日&quot;"/>
    <numFmt numFmtId="177" formatCode="yyyy/mm/dd"/>
    <numFmt numFmtId="178" formatCode="yyyy/mm/dd;@"/>
    <numFmt numFmtId="179" formatCode="0.0_ "/>
    <numFmt numFmtId="180" formatCode="0_ "/>
  </numFmts>
  <fonts count="28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b/>
      <sz val="10"/>
      <name val="Meiryo UI"/>
      <family val="3"/>
      <charset val="128"/>
    </font>
    <font>
      <sz val="6"/>
      <name val="Yu Gothic"/>
      <family val="3"/>
      <charset val="128"/>
      <scheme val="minor"/>
    </font>
    <font>
      <sz val="6"/>
      <name val="ＭＳ Ｐゴシック"/>
      <family val="3"/>
      <charset val="128"/>
    </font>
    <font>
      <sz val="10"/>
      <name val="Meiryo UI"/>
      <family val="3"/>
      <charset val="128"/>
    </font>
    <font>
      <sz val="20"/>
      <name val="Meiryo UI"/>
      <family val="3"/>
      <charset val="128"/>
    </font>
    <font>
      <sz val="11"/>
      <name val="Meiryo UI"/>
      <family val="3"/>
      <charset val="128"/>
    </font>
    <font>
      <sz val="11"/>
      <color indexed="8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28"/>
      <name val="Meiryo UI"/>
      <family val="3"/>
      <charset val="128"/>
    </font>
    <font>
      <sz val="9"/>
      <name val="Meiryo UI"/>
      <family val="3"/>
      <charset val="128"/>
    </font>
    <font>
      <sz val="10"/>
      <color rgb="FFFF0000"/>
      <name val="Meiryo UI"/>
      <family val="3"/>
      <charset val="128"/>
    </font>
    <font>
      <b/>
      <sz val="10"/>
      <color rgb="FF000000"/>
      <name val="Meiryo UI"/>
      <family val="3"/>
      <charset val="128"/>
    </font>
    <font>
      <sz val="10"/>
      <color theme="1"/>
      <name val="ＭＳ ゴシック"/>
      <family val="3"/>
      <charset val="128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b/>
      <sz val="8"/>
      <name val="Meiryo UI"/>
      <family val="3"/>
      <charset val="128"/>
    </font>
    <font>
      <b/>
      <u/>
      <sz val="14"/>
      <name val="Meiryo UI"/>
      <family val="3"/>
      <charset val="128"/>
    </font>
    <font>
      <sz val="10"/>
      <name val="ＭＳ ゴシック"/>
      <family val="3"/>
      <charset val="128"/>
    </font>
    <font>
      <b/>
      <sz val="18"/>
      <name val="ＭＳ ゴシック"/>
      <family val="3"/>
      <charset val="128"/>
    </font>
    <font>
      <b/>
      <u/>
      <sz val="14"/>
      <name val="ＭＳ ゴシック"/>
      <family val="3"/>
      <charset val="128"/>
    </font>
    <font>
      <b/>
      <sz val="9"/>
      <name val="Meiryo UI"/>
      <family val="3"/>
      <charset val="128"/>
    </font>
    <font>
      <b/>
      <sz val="8"/>
      <name val="ＭＳ ゴシック"/>
      <family val="3"/>
      <charset val="128"/>
    </font>
    <font>
      <sz val="6"/>
      <name val="明朝"/>
      <family val="1"/>
      <charset val="128"/>
    </font>
    <font>
      <b/>
      <u/>
      <sz val="14"/>
      <color theme="1"/>
      <name val="Meiryo UI"/>
      <family val="3"/>
      <charset val="128"/>
    </font>
    <font>
      <sz val="9"/>
      <color theme="1"/>
      <name val="Meiryo UI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rgb="FF000000"/>
      </patternFill>
    </fill>
  </fills>
  <borders count="8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dotted">
        <color indexed="64"/>
      </right>
      <top style="medium">
        <color indexed="64"/>
      </top>
      <bottom style="double">
        <color indexed="64"/>
      </bottom>
      <diagonal/>
    </border>
    <border>
      <left style="dotted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5" fillId="0" borderId="0">
      <alignment vertical="center"/>
    </xf>
    <xf numFmtId="0" fontId="16" fillId="0" borderId="0"/>
    <xf numFmtId="0" fontId="16" fillId="0" borderId="0"/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" fillId="0" borderId="0">
      <alignment vertical="center"/>
    </xf>
    <xf numFmtId="0" fontId="16" fillId="0" borderId="0"/>
  </cellStyleXfs>
  <cellXfs count="377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 applyAlignment="1">
      <alignment vertical="top"/>
    </xf>
    <xf numFmtId="0" fontId="5" fillId="0" borderId="8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5" fillId="0" borderId="0" xfId="0" applyFont="1" applyAlignment="1">
      <alignment horizontal="left" vertical="center"/>
    </xf>
    <xf numFmtId="0" fontId="7" fillId="3" borderId="1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49" fontId="7" fillId="0" borderId="12" xfId="0" applyNumberFormat="1" applyFont="1" applyBorder="1" applyAlignment="1">
      <alignment horizontal="center" vertical="top" wrapText="1"/>
    </xf>
    <xf numFmtId="0" fontId="5" fillId="0" borderId="3" xfId="0" applyFont="1" applyBorder="1" applyAlignment="1">
      <alignment horizontal="left" vertical="top"/>
    </xf>
    <xf numFmtId="177" fontId="7" fillId="0" borderId="12" xfId="0" applyNumberFormat="1" applyFont="1" applyBorder="1" applyAlignment="1">
      <alignment horizontal="center" vertical="top" wrapText="1"/>
    </xf>
    <xf numFmtId="0" fontId="8" fillId="0" borderId="12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7" fillId="0" borderId="0" xfId="0" quotePrefix="1" applyFont="1" applyAlignment="1">
      <alignment vertical="top"/>
    </xf>
    <xf numFmtId="178" fontId="5" fillId="0" borderId="0" xfId="0" applyNumberFormat="1" applyFont="1" applyAlignment="1">
      <alignment horizontal="left" vertical="center"/>
    </xf>
    <xf numFmtId="0" fontId="9" fillId="0" borderId="3" xfId="0" applyFont="1" applyBorder="1" applyAlignment="1">
      <alignment horizontal="left" vertical="top" wrapText="1"/>
    </xf>
    <xf numFmtId="179" fontId="10" fillId="0" borderId="12" xfId="0" quotePrefix="1" applyNumberFormat="1" applyFont="1" applyBorder="1" applyAlignment="1">
      <alignment horizontal="center" vertical="top" wrapText="1"/>
    </xf>
    <xf numFmtId="0" fontId="5" fillId="2" borderId="12" xfId="0" applyFont="1" applyFill="1" applyBorder="1" applyAlignment="1">
      <alignment horizontal="left" vertical="top" wrapText="1"/>
    </xf>
    <xf numFmtId="0" fontId="5" fillId="2" borderId="12" xfId="0" applyFont="1" applyFill="1" applyBorder="1" applyAlignment="1">
      <alignment horizontal="left" vertical="top"/>
    </xf>
    <xf numFmtId="49" fontId="10" fillId="0" borderId="12" xfId="0" quotePrefix="1" applyNumberFormat="1" applyFont="1" applyBorder="1" applyAlignment="1">
      <alignment horizontal="center" vertical="top" wrapText="1"/>
    </xf>
    <xf numFmtId="49" fontId="2" fillId="0" borderId="0" xfId="0" quotePrefix="1" applyNumberFormat="1" applyFont="1" applyAlignment="1">
      <alignment vertical="center"/>
    </xf>
    <xf numFmtId="0" fontId="5" fillId="0" borderId="8" xfId="0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49" fontId="5" fillId="0" borderId="7" xfId="0" applyNumberFormat="1" applyFont="1" applyBorder="1" applyAlignment="1">
      <alignment vertical="center"/>
    </xf>
    <xf numFmtId="49" fontId="5" fillId="0" borderId="9" xfId="0" applyNumberFormat="1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vertical="top"/>
    </xf>
    <xf numFmtId="0" fontId="5" fillId="0" borderId="8" xfId="0" applyFont="1" applyBorder="1" applyAlignment="1">
      <alignment horizontal="left" vertical="center"/>
    </xf>
    <xf numFmtId="0" fontId="5" fillId="0" borderId="7" xfId="0" applyFont="1" applyBorder="1" applyAlignment="1">
      <alignment vertical="center"/>
    </xf>
    <xf numFmtId="0" fontId="2" fillId="0" borderId="7" xfId="0" applyFont="1" applyBorder="1" applyAlignment="1">
      <alignment vertical="top"/>
    </xf>
    <xf numFmtId="0" fontId="13" fillId="0" borderId="0" xfId="0" applyFont="1" applyAlignment="1">
      <alignment vertical="top"/>
    </xf>
    <xf numFmtId="0" fontId="5" fillId="0" borderId="7" xfId="0" applyFont="1" applyBorder="1" applyAlignment="1">
      <alignment horizontal="left" vertical="top" indent="1"/>
    </xf>
    <xf numFmtId="0" fontId="2" fillId="0" borderId="0" xfId="0" applyFont="1" applyAlignment="1">
      <alignment vertical="center"/>
    </xf>
    <xf numFmtId="0" fontId="5" fillId="0" borderId="0" xfId="0" quotePrefix="1" applyFont="1" applyAlignment="1">
      <alignment vertical="center"/>
    </xf>
    <xf numFmtId="0" fontId="14" fillId="0" borderId="0" xfId="0" applyFont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7" fillId="4" borderId="3" xfId="0" applyFont="1" applyFill="1" applyBorder="1" applyAlignment="1">
      <alignment vertical="center"/>
    </xf>
    <xf numFmtId="0" fontId="7" fillId="4" borderId="12" xfId="0" applyFont="1" applyFill="1" applyBorder="1" applyAlignment="1">
      <alignment horizontal="center" vertical="center"/>
    </xf>
    <xf numFmtId="0" fontId="12" fillId="0" borderId="0" xfId="3" applyFont="1"/>
    <xf numFmtId="0" fontId="18" fillId="0" borderId="0" xfId="3" applyFont="1"/>
    <xf numFmtId="0" fontId="12" fillId="0" borderId="18" xfId="3" applyFont="1" applyBorder="1"/>
    <xf numFmtId="49" fontId="12" fillId="0" borderId="36" xfId="3" applyNumberFormat="1" applyFont="1" applyBorder="1" applyAlignment="1">
      <alignment horizontal="left"/>
    </xf>
    <xf numFmtId="49" fontId="12" fillId="0" borderId="0" xfId="3" applyNumberFormat="1" applyFont="1" applyAlignment="1">
      <alignment horizontal="left"/>
    </xf>
    <xf numFmtId="49" fontId="12" fillId="0" borderId="7" xfId="3" applyNumberFormat="1" applyFont="1" applyBorder="1" applyAlignment="1">
      <alignment horizontal="left"/>
    </xf>
    <xf numFmtId="49" fontId="12" fillId="0" borderId="37" xfId="3" applyNumberFormat="1" applyFont="1" applyBorder="1" applyAlignment="1">
      <alignment horizontal="left"/>
    </xf>
    <xf numFmtId="49" fontId="12" fillId="0" borderId="38" xfId="3" applyNumberFormat="1" applyFont="1" applyBorder="1" applyAlignment="1">
      <alignment horizontal="left"/>
    </xf>
    <xf numFmtId="49" fontId="12" fillId="0" borderId="39" xfId="3" applyNumberFormat="1" applyFont="1" applyBorder="1" applyAlignment="1">
      <alignment horizontal="left"/>
    </xf>
    <xf numFmtId="49" fontId="12" fillId="0" borderId="10" xfId="3" applyNumberFormat="1" applyFont="1" applyBorder="1" applyAlignment="1">
      <alignment horizontal="left"/>
    </xf>
    <xf numFmtId="49" fontId="12" fillId="0" borderId="9" xfId="3" applyNumberFormat="1" applyFont="1" applyBorder="1" applyAlignment="1">
      <alignment horizontal="left"/>
    </xf>
    <xf numFmtId="49" fontId="12" fillId="0" borderId="40" xfId="3" applyNumberFormat="1" applyFont="1" applyBorder="1" applyAlignment="1">
      <alignment horizontal="left"/>
    </xf>
    <xf numFmtId="0" fontId="12" fillId="0" borderId="38" xfId="3" applyFont="1" applyBorder="1"/>
    <xf numFmtId="49" fontId="12" fillId="0" borderId="46" xfId="3" applyNumberFormat="1" applyFont="1" applyBorder="1" applyAlignment="1">
      <alignment horizontal="left"/>
    </xf>
    <xf numFmtId="49" fontId="12" fillId="0" borderId="18" xfId="3" applyNumberFormat="1" applyFont="1" applyBorder="1" applyAlignment="1">
      <alignment horizontal="left"/>
    </xf>
    <xf numFmtId="49" fontId="12" fillId="0" borderId="47" xfId="3" applyNumberFormat="1" applyFont="1" applyBorder="1" applyAlignment="1">
      <alignment horizontal="left"/>
    </xf>
    <xf numFmtId="49" fontId="12" fillId="0" borderId="48" xfId="3" applyNumberFormat="1" applyFont="1" applyBorder="1" applyAlignment="1">
      <alignment horizontal="left"/>
    </xf>
    <xf numFmtId="0" fontId="17" fillId="0" borderId="0" xfId="3" applyFont="1"/>
    <xf numFmtId="0" fontId="12" fillId="0" borderId="0" xfId="0" applyFont="1" applyAlignment="1">
      <alignment horizontal="left" vertical="center" readingOrder="1"/>
    </xf>
    <xf numFmtId="0" fontId="2" fillId="0" borderId="0" xfId="0" applyFont="1" applyAlignment="1">
      <alignment vertical="top"/>
    </xf>
    <xf numFmtId="0" fontId="5" fillId="0" borderId="0" xfId="0" applyFont="1" applyAlignment="1">
      <alignment vertical="center" textRotation="255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top" indent="3"/>
    </xf>
    <xf numFmtId="0" fontId="5" fillId="0" borderId="7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0" fillId="0" borderId="0" xfId="0" applyFont="1"/>
    <xf numFmtId="0" fontId="12" fillId="6" borderId="15" xfId="4" applyFont="1" applyFill="1" applyBorder="1" applyAlignment="1">
      <alignment horizontal="center" vertical="center"/>
    </xf>
    <xf numFmtId="0" fontId="12" fillId="6" borderId="16" xfId="4" applyFont="1" applyFill="1" applyBorder="1" applyAlignment="1">
      <alignment horizontal="center" vertical="center"/>
    </xf>
    <xf numFmtId="0" fontId="12" fillId="6" borderId="17" xfId="4" applyFont="1" applyFill="1" applyBorder="1" applyAlignment="1">
      <alignment horizontal="center" vertical="center"/>
    </xf>
    <xf numFmtId="0" fontId="12" fillId="6" borderId="1" xfId="4" applyFont="1" applyFill="1" applyBorder="1" applyAlignment="1">
      <alignment horizontal="center" vertical="center"/>
    </xf>
    <xf numFmtId="0" fontId="12" fillId="6" borderId="2" xfId="4" applyFont="1" applyFill="1" applyBorder="1" applyAlignment="1">
      <alignment horizontal="center" vertical="center"/>
    </xf>
    <xf numFmtId="0" fontId="12" fillId="6" borderId="55" xfId="4" applyFont="1" applyFill="1" applyBorder="1" applyAlignment="1">
      <alignment horizontal="center" vertical="center"/>
    </xf>
    <xf numFmtId="0" fontId="12" fillId="0" borderId="60" xfId="0" applyFont="1" applyBorder="1"/>
    <xf numFmtId="0" fontId="12" fillId="0" borderId="59" xfId="0" applyFont="1" applyBorder="1" applyAlignment="1">
      <alignment wrapText="1"/>
    </xf>
    <xf numFmtId="0" fontId="12" fillId="5" borderId="15" xfId="3" applyFont="1" applyFill="1" applyBorder="1" applyAlignment="1">
      <alignment horizontal="left"/>
    </xf>
    <xf numFmtId="0" fontId="12" fillId="5" borderId="16" xfId="3" applyFont="1" applyFill="1" applyBorder="1" applyAlignment="1">
      <alignment horizontal="left"/>
    </xf>
    <xf numFmtId="0" fontId="12" fillId="5" borderId="17" xfId="3" applyFont="1" applyFill="1" applyBorder="1" applyAlignment="1">
      <alignment horizontal="left"/>
    </xf>
    <xf numFmtId="0" fontId="12" fillId="5" borderId="21" xfId="3" applyFont="1" applyFill="1" applyBorder="1" applyAlignment="1">
      <alignment horizontal="left"/>
    </xf>
    <xf numFmtId="0" fontId="12" fillId="5" borderId="22" xfId="3" applyFont="1" applyFill="1" applyBorder="1" applyAlignment="1">
      <alignment horizontal="left"/>
    </xf>
    <xf numFmtId="0" fontId="12" fillId="5" borderId="23" xfId="3" applyFont="1" applyFill="1" applyBorder="1" applyAlignment="1">
      <alignment horizontal="left"/>
    </xf>
    <xf numFmtId="0" fontId="22" fillId="0" borderId="0" xfId="3" applyFont="1" applyAlignment="1">
      <alignment horizontal="left" vertical="center"/>
    </xf>
    <xf numFmtId="0" fontId="9" fillId="0" borderId="0" xfId="0" applyFont="1"/>
    <xf numFmtId="0" fontId="9" fillId="0" borderId="13" xfId="0" applyFont="1" applyBorder="1" applyAlignment="1">
      <alignment horizontal="left"/>
    </xf>
    <xf numFmtId="0" fontId="9" fillId="0" borderId="63" xfId="0" applyFont="1" applyBorder="1"/>
    <xf numFmtId="0" fontId="9" fillId="0" borderId="19" xfId="0" applyFont="1" applyBorder="1" applyAlignment="1">
      <alignment horizontal="left"/>
    </xf>
    <xf numFmtId="0" fontId="9" fillId="0" borderId="64" xfId="0" applyFont="1" applyBorder="1"/>
    <xf numFmtId="0" fontId="2" fillId="4" borderId="1" xfId="1" applyFont="1" applyFill="1" applyBorder="1">
      <alignment vertical="center"/>
    </xf>
    <xf numFmtId="0" fontId="2" fillId="4" borderId="12" xfId="1" applyFont="1" applyFill="1" applyBorder="1" applyAlignment="1">
      <alignment horizontal="center" vertical="center"/>
    </xf>
    <xf numFmtId="0" fontId="5" fillId="8" borderId="65" xfId="1" applyFont="1" applyFill="1" applyBorder="1" applyAlignment="1">
      <alignment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6" xfId="0" applyFont="1" applyFill="1" applyBorder="1" applyAlignment="1">
      <alignment horizontal="center" vertical="center"/>
    </xf>
    <xf numFmtId="0" fontId="5" fillId="0" borderId="0" xfId="1" applyFont="1">
      <alignment vertical="center"/>
    </xf>
    <xf numFmtId="0" fontId="5" fillId="0" borderId="0" xfId="1" applyFont="1" applyAlignment="1">
      <alignment vertical="center" wrapText="1"/>
    </xf>
    <xf numFmtId="0" fontId="5" fillId="7" borderId="12" xfId="1" quotePrefix="1" applyFont="1" applyFill="1" applyBorder="1" applyAlignment="1">
      <alignment horizontal="center" vertical="center"/>
    </xf>
    <xf numFmtId="0" fontId="5" fillId="8" borderId="0" xfId="1" applyFont="1" applyFill="1" applyAlignment="1">
      <alignment vertical="center" wrapText="1"/>
    </xf>
    <xf numFmtId="180" fontId="5" fillId="0" borderId="12" xfId="1" applyNumberFormat="1" applyFont="1" applyBorder="1" applyAlignment="1">
      <alignment vertical="top"/>
    </xf>
    <xf numFmtId="0" fontId="5" fillId="2" borderId="1" xfId="1" quotePrefix="1" applyFont="1" applyFill="1" applyBorder="1" applyAlignment="1">
      <alignment vertical="top"/>
    </xf>
    <xf numFmtId="0" fontId="5" fillId="2" borderId="12" xfId="1" quotePrefix="1" applyFont="1" applyFill="1" applyBorder="1" applyAlignment="1">
      <alignment vertical="top" wrapText="1" shrinkToFit="1"/>
    </xf>
    <xf numFmtId="0" fontId="5" fillId="0" borderId="12" xfId="1" applyFont="1" applyBorder="1">
      <alignment vertical="center"/>
    </xf>
    <xf numFmtId="0" fontId="2" fillId="4" borderId="12" xfId="1" applyFont="1" applyFill="1" applyBorder="1" applyAlignment="1">
      <alignment horizontal="left" vertical="center"/>
    </xf>
    <xf numFmtId="0" fontId="5" fillId="2" borderId="3" xfId="1" quotePrefix="1" applyFont="1" applyFill="1" applyBorder="1" applyAlignment="1">
      <alignment horizontal="left" vertical="top" wrapText="1" shrinkToFit="1"/>
    </xf>
    <xf numFmtId="0" fontId="5" fillId="0" borderId="66" xfId="1" applyFont="1" applyBorder="1">
      <alignment vertical="center"/>
    </xf>
    <xf numFmtId="0" fontId="5" fillId="0" borderId="12" xfId="1" applyFont="1" applyBorder="1" applyAlignment="1">
      <alignment horizontal="center" vertical="center"/>
    </xf>
    <xf numFmtId="0" fontId="10" fillId="0" borderId="0" xfId="1" applyFont="1" applyAlignment="1"/>
    <xf numFmtId="0" fontId="0" fillId="0" borderId="0" xfId="0" applyAlignment="1">
      <alignment vertical="center"/>
    </xf>
    <xf numFmtId="14" fontId="24" fillId="2" borderId="0" xfId="3" applyNumberFormat="1" applyFont="1" applyFill="1"/>
    <xf numFmtId="0" fontId="22" fillId="0" borderId="0" xfId="3" applyFont="1" applyAlignment="1">
      <alignment vertical="center"/>
    </xf>
    <xf numFmtId="0" fontId="17" fillId="0" borderId="49" xfId="3" applyFont="1" applyBorder="1" applyAlignment="1">
      <alignment horizontal="left" vertical="center"/>
    </xf>
    <xf numFmtId="0" fontId="17" fillId="0" borderId="16" xfId="3" applyFont="1" applyBorder="1" applyAlignment="1">
      <alignment horizontal="center"/>
    </xf>
    <xf numFmtId="0" fontId="17" fillId="0" borderId="15" xfId="3" applyFont="1" applyBorder="1" applyAlignment="1">
      <alignment horizontal="left"/>
    </xf>
    <xf numFmtId="0" fontId="17" fillId="0" borderId="50" xfId="3" applyFont="1" applyBorder="1" applyAlignment="1">
      <alignment horizontal="center"/>
    </xf>
    <xf numFmtId="0" fontId="17" fillId="0" borderId="17" xfId="3" applyFont="1" applyBorder="1" applyAlignment="1">
      <alignment horizontal="center"/>
    </xf>
    <xf numFmtId="0" fontId="22" fillId="0" borderId="10" xfId="3" applyFont="1" applyBorder="1" applyAlignment="1">
      <alignment horizontal="left" vertical="center"/>
    </xf>
    <xf numFmtId="0" fontId="22" fillId="0" borderId="10" xfId="3" applyFont="1" applyBorder="1" applyAlignment="1">
      <alignment vertical="center"/>
    </xf>
    <xf numFmtId="0" fontId="17" fillId="0" borderId="10" xfId="3" applyFont="1" applyBorder="1"/>
    <xf numFmtId="0" fontId="17" fillId="0" borderId="67" xfId="3" applyFont="1" applyBorder="1" applyAlignment="1">
      <alignment horizontal="left" vertical="center"/>
    </xf>
    <xf numFmtId="0" fontId="17" fillId="0" borderId="2" xfId="3" applyFont="1" applyBorder="1" applyAlignment="1">
      <alignment horizontal="center"/>
    </xf>
    <xf numFmtId="0" fontId="17" fillId="0" borderId="1" xfId="3" applyFont="1" applyBorder="1" applyAlignment="1">
      <alignment horizontal="left"/>
    </xf>
    <xf numFmtId="0" fontId="17" fillId="0" borderId="3" xfId="3" applyFont="1" applyBorder="1" applyAlignment="1">
      <alignment horizontal="center"/>
    </xf>
    <xf numFmtId="0" fontId="17" fillId="0" borderId="2" xfId="3" applyFont="1" applyBorder="1" applyAlignment="1">
      <alignment horizontal="left"/>
    </xf>
    <xf numFmtId="0" fontId="17" fillId="0" borderId="55" xfId="3" applyFont="1" applyBorder="1" applyAlignment="1">
      <alignment horizontal="left"/>
    </xf>
    <xf numFmtId="0" fontId="17" fillId="0" borderId="0" xfId="3" applyFont="1" applyAlignment="1">
      <alignment vertical="center"/>
    </xf>
    <xf numFmtId="0" fontId="23" fillId="0" borderId="49" xfId="3" applyFont="1" applyBorder="1" applyAlignment="1">
      <alignment horizontal="left" vertical="center"/>
    </xf>
    <xf numFmtId="0" fontId="23" fillId="0" borderId="16" xfId="3" applyFont="1" applyBorder="1" applyAlignment="1">
      <alignment horizontal="center" vertical="center"/>
    </xf>
    <xf numFmtId="0" fontId="23" fillId="0" borderId="50" xfId="3" applyFont="1" applyBorder="1" applyAlignment="1">
      <alignment horizontal="center" vertical="center"/>
    </xf>
    <xf numFmtId="0" fontId="23" fillId="0" borderId="51" xfId="3" applyFont="1" applyBorder="1" applyAlignment="1">
      <alignment horizontal="left" vertical="center"/>
    </xf>
    <xf numFmtId="0" fontId="23" fillId="0" borderId="22" xfId="3" applyFont="1" applyBorder="1" applyAlignment="1">
      <alignment horizontal="center" vertical="center"/>
    </xf>
    <xf numFmtId="0" fontId="23" fillId="0" borderId="52" xfId="3" applyFont="1" applyBorder="1" applyAlignment="1">
      <alignment horizontal="center" vertical="center"/>
    </xf>
    <xf numFmtId="0" fontId="12" fillId="0" borderId="21" xfId="3" applyFont="1" applyBorder="1" applyAlignment="1">
      <alignment horizontal="left" vertical="center"/>
    </xf>
    <xf numFmtId="0" fontId="12" fillId="0" borderId="22" xfId="3" applyFont="1" applyBorder="1" applyAlignment="1">
      <alignment horizontal="left" vertical="center"/>
    </xf>
    <xf numFmtId="0" fontId="12" fillId="0" borderId="23" xfId="3" applyFont="1" applyBorder="1" applyAlignment="1">
      <alignment horizontal="left" vertical="center"/>
    </xf>
    <xf numFmtId="0" fontId="10" fillId="0" borderId="18" xfId="0" applyFont="1" applyBorder="1"/>
    <xf numFmtId="0" fontId="2" fillId="4" borderId="1" xfId="1" applyFont="1" applyFill="1" applyBorder="1" applyAlignment="1">
      <alignment horizontal="center" vertical="center"/>
    </xf>
    <xf numFmtId="0" fontId="2" fillId="4" borderId="66" xfId="1" applyFont="1" applyFill="1" applyBorder="1" applyAlignment="1">
      <alignment horizontal="center" vertical="center"/>
    </xf>
    <xf numFmtId="0" fontId="23" fillId="0" borderId="0" xfId="3" applyFont="1"/>
    <xf numFmtId="0" fontId="27" fillId="0" borderId="0" xfId="0" applyFont="1"/>
    <xf numFmtId="0" fontId="12" fillId="0" borderId="81" xfId="4" applyFont="1" applyBorder="1" applyAlignment="1">
      <alignment vertical="center" shrinkToFit="1"/>
    </xf>
    <xf numFmtId="0" fontId="10" fillId="0" borderId="82" xfId="0" applyFont="1" applyBorder="1"/>
    <xf numFmtId="0" fontId="10" fillId="0" borderId="25" xfId="0" applyFont="1" applyBorder="1"/>
    <xf numFmtId="0" fontId="10" fillId="0" borderId="29" xfId="0" applyFont="1" applyBorder="1"/>
    <xf numFmtId="0" fontId="10" fillId="0" borderId="83" xfId="0" applyFont="1" applyBorder="1"/>
    <xf numFmtId="0" fontId="10" fillId="0" borderId="12" xfId="0" quotePrefix="1" applyFont="1" applyBorder="1"/>
    <xf numFmtId="0" fontId="10" fillId="0" borderId="12" xfId="0" applyFont="1" applyBorder="1"/>
    <xf numFmtId="49" fontId="12" fillId="0" borderId="19" xfId="3" applyNumberFormat="1" applyFont="1" applyBorder="1" applyAlignment="1">
      <alignment vertical="top" wrapText="1"/>
    </xf>
    <xf numFmtId="49" fontId="12" fillId="0" borderId="22" xfId="3" applyNumberFormat="1" applyFont="1" applyBorder="1" applyAlignment="1">
      <alignment vertical="top" wrapText="1"/>
    </xf>
    <xf numFmtId="49" fontId="12" fillId="0" borderId="52" xfId="3" applyNumberFormat="1" applyFont="1" applyBorder="1" applyAlignment="1">
      <alignment vertical="top" wrapText="1"/>
    </xf>
    <xf numFmtId="180" fontId="5" fillId="0" borderId="1" xfId="1" applyNumberFormat="1" applyFont="1" applyBorder="1" applyAlignment="1">
      <alignment horizontal="left" vertical="top"/>
    </xf>
    <xf numFmtId="180" fontId="5" fillId="0" borderId="1" xfId="1" applyNumberFormat="1" applyFont="1" applyBorder="1" applyAlignment="1">
      <alignment vertical="top"/>
    </xf>
    <xf numFmtId="180" fontId="5" fillId="0" borderId="3" xfId="1" applyNumberFormat="1" applyFont="1" applyBorder="1" applyAlignment="1">
      <alignment horizontal="left" vertical="top"/>
    </xf>
    <xf numFmtId="0" fontId="5" fillId="0" borderId="0" xfId="0" applyFont="1" applyAlignment="1">
      <alignment vertical="center" wrapText="1"/>
    </xf>
    <xf numFmtId="0" fontId="5" fillId="7" borderId="12" xfId="0" quotePrefix="1" applyFont="1" applyFill="1" applyBorder="1" applyAlignment="1">
      <alignment horizontal="center" vertical="center"/>
    </xf>
    <xf numFmtId="0" fontId="5" fillId="8" borderId="0" xfId="0" applyFont="1" applyFill="1" applyAlignment="1">
      <alignment vertical="center"/>
    </xf>
    <xf numFmtId="0" fontId="5" fillId="7" borderId="12" xfId="0" applyFont="1" applyFill="1" applyBorder="1" applyAlignment="1">
      <alignment vertical="center"/>
    </xf>
    <xf numFmtId="0" fontId="2" fillId="4" borderId="65" xfId="0" applyFont="1" applyFill="1" applyBorder="1" applyAlignment="1">
      <alignment horizontal="center" vertical="center"/>
    </xf>
    <xf numFmtId="180" fontId="5" fillId="0" borderId="12" xfId="0" applyNumberFormat="1" applyFont="1" applyBorder="1" applyAlignment="1">
      <alignment vertical="top"/>
    </xf>
    <xf numFmtId="0" fontId="5" fillId="2" borderId="1" xfId="0" quotePrefix="1" applyFont="1" applyFill="1" applyBorder="1" applyAlignment="1">
      <alignment vertical="top"/>
    </xf>
    <xf numFmtId="0" fontId="5" fillId="2" borderId="12" xfId="0" quotePrefix="1" applyFont="1" applyFill="1" applyBorder="1" applyAlignment="1">
      <alignment vertical="top" wrapText="1" shrinkToFit="1"/>
    </xf>
    <xf numFmtId="0" fontId="5" fillId="2" borderId="12" xfId="0" quotePrefix="1" applyFont="1" applyFill="1" applyBorder="1" applyAlignment="1">
      <alignment vertical="top" wrapText="1"/>
    </xf>
    <xf numFmtId="0" fontId="2" fillId="4" borderId="66" xfId="1" applyFont="1" applyFill="1" applyBorder="1" applyAlignment="1">
      <alignment horizontal="center" vertical="center"/>
    </xf>
    <xf numFmtId="180" fontId="5" fillId="0" borderId="3" xfId="1" applyNumberFormat="1" applyFont="1" applyBorder="1" applyAlignment="1">
      <alignment horizontal="left" vertical="top"/>
    </xf>
    <xf numFmtId="0" fontId="2" fillId="4" borderId="66" xfId="0" applyFont="1" applyFill="1" applyBorder="1" applyAlignment="1">
      <alignment horizontal="center" vertical="center"/>
    </xf>
    <xf numFmtId="0" fontId="2" fillId="4" borderId="66" xfId="1" applyFont="1" applyFill="1" applyBorder="1" applyAlignment="1">
      <alignment horizontal="center" vertical="center"/>
    </xf>
    <xf numFmtId="0" fontId="2" fillId="4" borderId="66" xfId="0" applyFont="1" applyFill="1" applyBorder="1" applyAlignment="1">
      <alignment horizontal="center" vertical="center"/>
    </xf>
    <xf numFmtId="0" fontId="2" fillId="4" borderId="66" xfId="1" applyFont="1" applyFill="1" applyBorder="1" applyAlignment="1">
      <alignment horizontal="center" vertical="center"/>
    </xf>
    <xf numFmtId="0" fontId="2" fillId="4" borderId="6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76" fontId="6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top"/>
    </xf>
    <xf numFmtId="0" fontId="7" fillId="4" borderId="1" xfId="0" applyFont="1" applyFill="1" applyBorder="1" applyAlignment="1">
      <alignment horizontal="center" vertical="center" shrinkToFit="1"/>
    </xf>
    <xf numFmtId="0" fontId="7" fillId="4" borderId="2" xfId="0" applyFont="1" applyFill="1" applyBorder="1" applyAlignment="1">
      <alignment horizontal="center" vertical="center" shrinkToFit="1"/>
    </xf>
    <xf numFmtId="0" fontId="7" fillId="0" borderId="12" xfId="0" applyFont="1" applyBorder="1" applyAlignment="1">
      <alignment horizontal="left" vertical="center"/>
    </xf>
    <xf numFmtId="0" fontId="7" fillId="0" borderId="0" xfId="0" applyFont="1" applyAlignment="1">
      <alignment vertical="top" wrapText="1"/>
    </xf>
    <xf numFmtId="0" fontId="7" fillId="3" borderId="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23" fillId="0" borderId="58" xfId="4" applyFont="1" applyBorder="1" applyAlignment="1">
      <alignment horizontal="left" vertical="center" wrapText="1"/>
    </xf>
    <xf numFmtId="0" fontId="23" fillId="0" borderId="59" xfId="4" applyFont="1" applyBorder="1" applyAlignment="1">
      <alignment horizontal="left" vertical="center" wrapText="1"/>
    </xf>
    <xf numFmtId="0" fontId="23" fillId="0" borderId="60" xfId="4" applyFont="1" applyBorder="1" applyAlignment="1">
      <alignment horizontal="center" vertical="center" wrapText="1"/>
    </xf>
    <xf numFmtId="0" fontId="23" fillId="0" borderId="59" xfId="4" applyFont="1" applyBorder="1" applyAlignment="1">
      <alignment horizontal="center" vertical="center" wrapText="1"/>
    </xf>
    <xf numFmtId="0" fontId="23" fillId="0" borderId="61" xfId="4" applyFont="1" applyBorder="1" applyAlignment="1">
      <alignment horizontal="center" vertical="center" wrapText="1"/>
    </xf>
    <xf numFmtId="0" fontId="12" fillId="6" borderId="60" xfId="4" applyFont="1" applyFill="1" applyBorder="1" applyAlignment="1">
      <alignment horizontal="center" vertical="center" wrapText="1"/>
    </xf>
    <xf numFmtId="0" fontId="12" fillId="6" borderId="59" xfId="4" applyFont="1" applyFill="1" applyBorder="1" applyAlignment="1">
      <alignment horizontal="center" vertical="center" wrapText="1"/>
    </xf>
    <xf numFmtId="0" fontId="12" fillId="6" borderId="62" xfId="4" applyFont="1" applyFill="1" applyBorder="1" applyAlignment="1">
      <alignment horizontal="center" vertical="center" wrapText="1"/>
    </xf>
    <xf numFmtId="0" fontId="23" fillId="0" borderId="39" xfId="4" applyFont="1" applyBorder="1" applyAlignment="1">
      <alignment horizontal="left" vertical="center" shrinkToFit="1"/>
    </xf>
    <xf numFmtId="0" fontId="23" fillId="0" borderId="10" xfId="4" applyFont="1" applyBorder="1" applyAlignment="1">
      <alignment horizontal="left" vertical="center" shrinkToFit="1"/>
    </xf>
    <xf numFmtId="0" fontId="23" fillId="0" borderId="56" xfId="4" applyFont="1" applyBorder="1" applyAlignment="1">
      <alignment horizontal="left" vertical="center" shrinkToFit="1"/>
    </xf>
    <xf numFmtId="0" fontId="12" fillId="0" borderId="57" xfId="4" applyFont="1" applyBorder="1" applyAlignment="1">
      <alignment horizontal="left" vertical="center" shrinkToFit="1"/>
    </xf>
    <xf numFmtId="0" fontId="12" fillId="0" borderId="10" xfId="4" applyFont="1" applyBorder="1" applyAlignment="1">
      <alignment horizontal="left" vertical="center" shrinkToFit="1"/>
    </xf>
    <xf numFmtId="0" fontId="12" fillId="0" borderId="11" xfId="4" applyFont="1" applyBorder="1" applyAlignment="1">
      <alignment horizontal="left" vertical="center" shrinkToFit="1"/>
    </xf>
    <xf numFmtId="49" fontId="23" fillId="0" borderId="9" xfId="4" applyNumberFormat="1" applyFont="1" applyBorder="1" applyAlignment="1">
      <alignment horizontal="left" vertical="center"/>
    </xf>
    <xf numFmtId="49" fontId="23" fillId="0" borderId="10" xfId="4" applyNumberFormat="1" applyFont="1" applyBorder="1" applyAlignment="1">
      <alignment horizontal="left" vertical="center"/>
    </xf>
    <xf numFmtId="49" fontId="23" fillId="0" borderId="56" xfId="4" applyNumberFormat="1" applyFont="1" applyBorder="1" applyAlignment="1">
      <alignment horizontal="left" vertical="center"/>
    </xf>
    <xf numFmtId="0" fontId="12" fillId="0" borderId="57" xfId="4" applyFont="1" applyBorder="1" applyAlignment="1">
      <alignment horizontal="left" vertical="center"/>
    </xf>
    <xf numFmtId="0" fontId="12" fillId="0" borderId="10" xfId="4" applyFont="1" applyBorder="1" applyAlignment="1">
      <alignment horizontal="left" vertical="center"/>
    </xf>
    <xf numFmtId="0" fontId="12" fillId="0" borderId="11" xfId="4" applyFont="1" applyBorder="1" applyAlignment="1">
      <alignment horizontal="left" vertical="center"/>
    </xf>
    <xf numFmtId="0" fontId="23" fillId="0" borderId="39" xfId="4" applyFont="1" applyBorder="1" applyAlignment="1">
      <alignment horizontal="left" vertical="center" wrapText="1"/>
    </xf>
    <xf numFmtId="0" fontId="23" fillId="0" borderId="10" xfId="4" applyFont="1" applyBorder="1" applyAlignment="1">
      <alignment horizontal="left" vertical="center" wrapText="1"/>
    </xf>
    <xf numFmtId="0" fontId="12" fillId="0" borderId="9" xfId="0" applyFont="1" applyBorder="1" applyAlignment="1">
      <alignment wrapText="1"/>
    </xf>
    <xf numFmtId="0" fontId="12" fillId="0" borderId="10" xfId="0" applyFont="1" applyBorder="1" applyAlignment="1">
      <alignment wrapText="1"/>
    </xf>
    <xf numFmtId="0" fontId="12" fillId="0" borderId="40" xfId="0" applyFont="1" applyBorder="1" applyAlignment="1">
      <alignment wrapText="1"/>
    </xf>
    <xf numFmtId="0" fontId="19" fillId="0" borderId="0" xfId="3" applyFont="1" applyAlignment="1">
      <alignment horizontal="left" vertical="center"/>
    </xf>
    <xf numFmtId="0" fontId="19" fillId="0" borderId="18" xfId="3" applyFont="1" applyBorder="1" applyAlignment="1">
      <alignment horizontal="left" vertical="center"/>
    </xf>
    <xf numFmtId="0" fontId="12" fillId="0" borderId="15" xfId="3" applyFont="1" applyBorder="1" applyAlignment="1">
      <alignment horizontal="left" vertical="center"/>
    </xf>
    <xf numFmtId="0" fontId="12" fillId="0" borderId="16" xfId="3" applyFont="1" applyBorder="1" applyAlignment="1">
      <alignment horizontal="left" vertical="center"/>
    </xf>
    <xf numFmtId="0" fontId="12" fillId="0" borderId="17" xfId="3" applyFont="1" applyBorder="1" applyAlignment="1">
      <alignment horizontal="left" vertical="center"/>
    </xf>
    <xf numFmtId="0" fontId="23" fillId="0" borderId="49" xfId="4" applyFont="1" applyBorder="1" applyAlignment="1">
      <alignment horizontal="left" vertical="center" shrinkToFit="1"/>
    </xf>
    <xf numFmtId="0" fontId="23" fillId="0" borderId="16" xfId="4" applyFont="1" applyBorder="1" applyAlignment="1">
      <alignment horizontal="left" vertical="center" shrinkToFit="1"/>
    </xf>
    <xf numFmtId="0" fontId="23" fillId="0" borderId="53" xfId="4" applyFont="1" applyBorder="1" applyAlignment="1">
      <alignment horizontal="left" vertical="center" shrinkToFit="1"/>
    </xf>
    <xf numFmtId="49" fontId="12" fillId="0" borderId="54" xfId="4" applyNumberFormat="1" applyFont="1" applyBorder="1" applyAlignment="1">
      <alignment horizontal="left" vertical="center" shrinkToFit="1"/>
    </xf>
    <xf numFmtId="49" fontId="12" fillId="0" borderId="16" xfId="4" applyNumberFormat="1" applyFont="1" applyBorder="1" applyAlignment="1">
      <alignment horizontal="left" vertical="center" shrinkToFit="1"/>
    </xf>
    <xf numFmtId="49" fontId="12" fillId="0" borderId="50" xfId="4" applyNumberFormat="1" applyFont="1" applyBorder="1" applyAlignment="1">
      <alignment horizontal="left" vertical="center" shrinkToFit="1"/>
    </xf>
    <xf numFmtId="49" fontId="23" fillId="0" borderId="15" xfId="4" applyNumberFormat="1" applyFont="1" applyBorder="1" applyAlignment="1">
      <alignment horizontal="left" vertical="center"/>
    </xf>
    <xf numFmtId="49" fontId="23" fillId="0" borderId="16" xfId="4" applyNumberFormat="1" applyFont="1" applyBorder="1" applyAlignment="1">
      <alignment horizontal="left" vertical="center"/>
    </xf>
    <xf numFmtId="49" fontId="23" fillId="0" borderId="53" xfId="4" applyNumberFormat="1" applyFont="1" applyBorder="1" applyAlignment="1">
      <alignment horizontal="left" vertical="center"/>
    </xf>
    <xf numFmtId="0" fontId="12" fillId="0" borderId="54" xfId="4" applyFont="1" applyBorder="1" applyAlignment="1">
      <alignment horizontal="left" vertical="center"/>
    </xf>
    <xf numFmtId="0" fontId="12" fillId="0" borderId="16" xfId="4" applyFont="1" applyBorder="1" applyAlignment="1">
      <alignment horizontal="left" vertical="center"/>
    </xf>
    <xf numFmtId="0" fontId="12" fillId="0" borderId="50" xfId="4" applyFont="1" applyBorder="1" applyAlignment="1">
      <alignment horizontal="left" vertical="center"/>
    </xf>
    <xf numFmtId="0" fontId="12" fillId="5" borderId="13" xfId="3" applyFont="1" applyFill="1" applyBorder="1" applyAlignment="1">
      <alignment horizontal="center"/>
    </xf>
    <xf numFmtId="0" fontId="12" fillId="5" borderId="14" xfId="3" applyFont="1" applyFill="1" applyBorder="1" applyAlignment="1">
      <alignment horizontal="center"/>
    </xf>
    <xf numFmtId="0" fontId="12" fillId="5" borderId="15" xfId="3" applyFont="1" applyFill="1" applyBorder="1" applyAlignment="1">
      <alignment horizontal="left"/>
    </xf>
    <xf numFmtId="0" fontId="12" fillId="5" borderId="16" xfId="3" applyFont="1" applyFill="1" applyBorder="1" applyAlignment="1">
      <alignment horizontal="left"/>
    </xf>
    <xf numFmtId="0" fontId="12" fillId="5" borderId="17" xfId="3" applyFont="1" applyFill="1" applyBorder="1" applyAlignment="1">
      <alignment horizontal="left"/>
    </xf>
    <xf numFmtId="0" fontId="12" fillId="5" borderId="19" xfId="3" applyFont="1" applyFill="1" applyBorder="1" applyAlignment="1">
      <alignment horizontal="center"/>
    </xf>
    <xf numFmtId="0" fontId="12" fillId="5" borderId="20" xfId="3" applyFont="1" applyFill="1" applyBorder="1" applyAlignment="1">
      <alignment horizontal="center"/>
    </xf>
    <xf numFmtId="0" fontId="12" fillId="5" borderId="21" xfId="3" applyFont="1" applyFill="1" applyBorder="1" applyAlignment="1">
      <alignment horizontal="left"/>
    </xf>
    <xf numFmtId="0" fontId="12" fillId="5" borderId="22" xfId="3" applyFont="1" applyFill="1" applyBorder="1" applyAlignment="1">
      <alignment horizontal="left"/>
    </xf>
    <xf numFmtId="0" fontId="12" fillId="5" borderId="23" xfId="3" applyFont="1" applyFill="1" applyBorder="1" applyAlignment="1">
      <alignment horizontal="left"/>
    </xf>
    <xf numFmtId="0" fontId="12" fillId="0" borderId="27" xfId="4" applyFont="1" applyBorder="1" applyAlignment="1">
      <alignment horizontal="left" vertical="center"/>
    </xf>
    <xf numFmtId="0" fontId="12" fillId="0" borderId="25" xfId="4" applyFont="1" applyBorder="1" applyAlignment="1">
      <alignment horizontal="left" vertical="center"/>
    </xf>
    <xf numFmtId="0" fontId="12" fillId="0" borderId="30" xfId="4" applyFont="1" applyBorder="1" applyAlignment="1">
      <alignment horizontal="left" vertical="center"/>
    </xf>
    <xf numFmtId="49" fontId="12" fillId="0" borderId="31" xfId="3" applyNumberFormat="1" applyFont="1" applyBorder="1" applyAlignment="1">
      <alignment horizontal="left"/>
    </xf>
    <xf numFmtId="49" fontId="12" fillId="0" borderId="32" xfId="3" applyNumberFormat="1" applyFont="1" applyBorder="1" applyAlignment="1">
      <alignment horizontal="left"/>
    </xf>
    <xf numFmtId="49" fontId="12" fillId="0" borderId="33" xfId="3" applyNumberFormat="1" applyFont="1" applyBorder="1" applyAlignment="1">
      <alignment horizontal="left"/>
    </xf>
    <xf numFmtId="49" fontId="12" fillId="0" borderId="34" xfId="3" applyNumberFormat="1" applyFont="1" applyBorder="1" applyAlignment="1">
      <alignment horizontal="left"/>
    </xf>
    <xf numFmtId="49" fontId="12" fillId="0" borderId="35" xfId="3" applyNumberFormat="1" applyFont="1" applyBorder="1" applyAlignment="1">
      <alignment horizontal="left"/>
    </xf>
    <xf numFmtId="49" fontId="12" fillId="0" borderId="41" xfId="3" applyNumberFormat="1" applyFont="1" applyBorder="1" applyAlignment="1">
      <alignment horizontal="left"/>
    </xf>
    <xf numFmtId="49" fontId="12" fillId="0" borderId="42" xfId="3" applyNumberFormat="1" applyFont="1" applyBorder="1" applyAlignment="1">
      <alignment horizontal="left"/>
    </xf>
    <xf numFmtId="49" fontId="12" fillId="0" borderId="43" xfId="3" applyNumberFormat="1" applyFont="1" applyBorder="1" applyAlignment="1">
      <alignment horizontal="left"/>
    </xf>
    <xf numFmtId="49" fontId="12" fillId="0" borderId="44" xfId="3" applyNumberFormat="1" applyFont="1" applyBorder="1" applyAlignment="1">
      <alignment horizontal="left"/>
    </xf>
    <xf numFmtId="49" fontId="12" fillId="0" borderId="45" xfId="3" applyNumberFormat="1" applyFont="1" applyBorder="1" applyAlignment="1">
      <alignment horizontal="left"/>
    </xf>
    <xf numFmtId="0" fontId="12" fillId="0" borderId="24" xfId="4" applyFont="1" applyBorder="1" applyAlignment="1">
      <alignment horizontal="center" vertical="center" shrinkToFit="1"/>
    </xf>
    <xf numFmtId="0" fontId="12" fillId="0" borderId="25" xfId="4" applyFont="1" applyBorder="1" applyAlignment="1">
      <alignment horizontal="center" vertical="center" shrinkToFit="1"/>
    </xf>
    <xf numFmtId="0" fontId="12" fillId="0" borderId="26" xfId="4" applyFont="1" applyBorder="1" applyAlignment="1">
      <alignment horizontal="center" vertical="center" shrinkToFit="1"/>
    </xf>
    <xf numFmtId="49" fontId="12" fillId="0" borderId="27" xfId="4" applyNumberFormat="1" applyFont="1" applyBorder="1" applyAlignment="1">
      <alignment horizontal="left" vertical="center" shrinkToFit="1"/>
    </xf>
    <xf numFmtId="49" fontId="12" fillId="0" borderId="25" xfId="4" applyNumberFormat="1" applyFont="1" applyBorder="1" applyAlignment="1">
      <alignment horizontal="left" vertical="center" shrinkToFit="1"/>
    </xf>
    <xf numFmtId="49" fontId="12" fillId="0" borderId="28" xfId="4" applyNumberFormat="1" applyFont="1" applyBorder="1" applyAlignment="1">
      <alignment horizontal="left" vertical="center" shrinkToFit="1"/>
    </xf>
    <xf numFmtId="49" fontId="12" fillId="0" borderId="29" xfId="4" applyNumberFormat="1" applyFont="1" applyBorder="1" applyAlignment="1">
      <alignment horizontal="center" vertical="center"/>
    </xf>
    <xf numFmtId="49" fontId="12" fillId="0" borderId="25" xfId="4" applyNumberFormat="1" applyFont="1" applyBorder="1" applyAlignment="1">
      <alignment horizontal="center" vertical="center"/>
    </xf>
    <xf numFmtId="49" fontId="12" fillId="0" borderId="26" xfId="4" applyNumberFormat="1" applyFont="1" applyBorder="1" applyAlignment="1">
      <alignment horizontal="center" vertical="center"/>
    </xf>
    <xf numFmtId="0" fontId="12" fillId="0" borderId="28" xfId="4" applyFont="1" applyBorder="1" applyAlignment="1">
      <alignment horizontal="left" vertical="center"/>
    </xf>
    <xf numFmtId="0" fontId="12" fillId="0" borderId="29" xfId="4" applyFont="1" applyBorder="1" applyAlignment="1">
      <alignment horizontal="center" vertical="center"/>
    </xf>
    <xf numFmtId="0" fontId="12" fillId="0" borderId="25" xfId="4" applyFont="1" applyBorder="1" applyAlignment="1">
      <alignment horizontal="center" vertical="center"/>
    </xf>
    <xf numFmtId="0" fontId="12" fillId="0" borderId="26" xfId="4" applyFont="1" applyBorder="1" applyAlignment="1">
      <alignment horizontal="center" vertical="center"/>
    </xf>
    <xf numFmtId="0" fontId="5" fillId="0" borderId="4" xfId="0" quotePrefix="1" applyFont="1" applyBorder="1" applyAlignment="1">
      <alignment horizontal="left" vertical="center"/>
    </xf>
    <xf numFmtId="0" fontId="5" fillId="0" borderId="5" xfId="0" quotePrefix="1" applyFont="1" applyBorder="1" applyAlignment="1">
      <alignment horizontal="left" vertical="center"/>
    </xf>
    <xf numFmtId="0" fontId="2" fillId="4" borderId="9" xfId="0" applyFont="1" applyFill="1" applyBorder="1" applyAlignment="1">
      <alignment vertical="center"/>
    </xf>
    <xf numFmtId="0" fontId="2" fillId="4" borderId="10" xfId="0" applyFont="1" applyFill="1" applyBorder="1" applyAlignment="1">
      <alignment vertical="center"/>
    </xf>
    <xf numFmtId="0" fontId="2" fillId="4" borderId="11" xfId="0" applyFont="1" applyFill="1" applyBorder="1" applyAlignment="1">
      <alignment vertical="center"/>
    </xf>
    <xf numFmtId="14" fontId="2" fillId="4" borderId="9" xfId="0" applyNumberFormat="1" applyFont="1" applyFill="1" applyBorder="1" applyAlignment="1">
      <alignment horizontal="center" vertical="center"/>
    </xf>
    <xf numFmtId="14" fontId="2" fillId="4" borderId="10" xfId="0" applyNumberFormat="1" applyFont="1" applyFill="1" applyBorder="1" applyAlignment="1">
      <alignment horizontal="center" vertical="center"/>
    </xf>
    <xf numFmtId="14" fontId="2" fillId="4" borderId="11" xfId="0" applyNumberFormat="1" applyFont="1" applyFill="1" applyBorder="1" applyAlignment="1">
      <alignment horizontal="center" vertical="center"/>
    </xf>
    <xf numFmtId="180" fontId="5" fillId="0" borderId="1" xfId="1" applyNumberFormat="1" applyFont="1" applyBorder="1" applyAlignment="1">
      <alignment horizontal="left" vertical="top" wrapText="1"/>
    </xf>
    <xf numFmtId="180" fontId="5" fillId="0" borderId="3" xfId="1" applyNumberFormat="1" applyFont="1" applyBorder="1" applyAlignment="1">
      <alignment horizontal="left" vertical="top"/>
    </xf>
    <xf numFmtId="0" fontId="2" fillId="4" borderId="1" xfId="1" applyFont="1" applyFill="1" applyBorder="1" applyAlignment="1">
      <alignment horizontal="left" vertical="center"/>
    </xf>
    <xf numFmtId="0" fontId="2" fillId="4" borderId="2" xfId="1" applyFont="1" applyFill="1" applyBorder="1" applyAlignment="1">
      <alignment horizontal="left" vertical="center"/>
    </xf>
    <xf numFmtId="0" fontId="2" fillId="4" borderId="3" xfId="1" applyFont="1" applyFill="1" applyBorder="1" applyAlignment="1">
      <alignment horizontal="left" vertical="center"/>
    </xf>
    <xf numFmtId="180" fontId="5" fillId="0" borderId="1" xfId="1" quotePrefix="1" applyNumberFormat="1" applyFont="1" applyBorder="1" applyAlignment="1">
      <alignment horizontal="left" vertical="top" wrapText="1"/>
    </xf>
    <xf numFmtId="180" fontId="5" fillId="0" borderId="2" xfId="1" applyNumberFormat="1" applyFont="1" applyBorder="1" applyAlignment="1">
      <alignment horizontal="left" vertical="top"/>
    </xf>
    <xf numFmtId="0" fontId="2" fillId="4" borderId="66" xfId="1" applyFont="1" applyFill="1" applyBorder="1" applyAlignment="1">
      <alignment horizontal="center" vertical="center"/>
    </xf>
    <xf numFmtId="0" fontId="2" fillId="4" borderId="65" xfId="1" applyFont="1" applyFill="1" applyBorder="1" applyAlignment="1">
      <alignment horizontal="center" vertical="center"/>
    </xf>
    <xf numFmtId="0" fontId="26" fillId="0" borderId="0" xfId="0" applyFont="1"/>
    <xf numFmtId="0" fontId="2" fillId="4" borderId="66" xfId="0" applyFont="1" applyFill="1" applyBorder="1" applyAlignment="1">
      <alignment horizontal="center" vertical="center"/>
    </xf>
    <xf numFmtId="0" fontId="2" fillId="4" borderId="65" xfId="0" applyFont="1" applyFill="1" applyBorder="1" applyAlignment="1">
      <alignment horizontal="center" vertical="center"/>
    </xf>
    <xf numFmtId="49" fontId="17" fillId="0" borderId="78" xfId="3" applyNumberFormat="1" applyFont="1" applyBorder="1" applyAlignment="1">
      <alignment horizontal="left" vertical="center"/>
    </xf>
    <xf numFmtId="49" fontId="17" fillId="0" borderId="77" xfId="3" applyNumberFormat="1" applyFont="1" applyBorder="1" applyAlignment="1">
      <alignment horizontal="left" vertical="center"/>
    </xf>
    <xf numFmtId="49" fontId="17" fillId="0" borderId="7" xfId="3" applyNumberFormat="1" applyFont="1" applyBorder="1" applyAlignment="1">
      <alignment horizontal="left" vertical="center"/>
    </xf>
    <xf numFmtId="49" fontId="17" fillId="0" borderId="8" xfId="3" applyNumberFormat="1" applyFont="1" applyBorder="1" applyAlignment="1">
      <alignment horizontal="left" vertical="center"/>
    </xf>
    <xf numFmtId="49" fontId="17" fillId="0" borderId="9" xfId="3" applyNumberFormat="1" applyFont="1" applyBorder="1" applyAlignment="1">
      <alignment horizontal="left" vertical="center"/>
    </xf>
    <xf numFmtId="49" fontId="17" fillId="0" borderId="11" xfId="3" applyNumberFormat="1" applyFont="1" applyBorder="1" applyAlignment="1">
      <alignment horizontal="left" vertical="center"/>
    </xf>
    <xf numFmtId="49" fontId="17" fillId="0" borderId="76" xfId="3" applyNumberFormat="1" applyFont="1" applyBorder="1" applyAlignment="1">
      <alignment horizontal="left" vertical="center"/>
    </xf>
    <xf numFmtId="49" fontId="17" fillId="0" borderId="0" xfId="3" applyNumberFormat="1" applyFont="1" applyAlignment="1">
      <alignment horizontal="left" vertical="center"/>
    </xf>
    <xf numFmtId="49" fontId="17" fillId="0" borderId="10" xfId="3" applyNumberFormat="1" applyFont="1" applyBorder="1" applyAlignment="1">
      <alignment horizontal="left" vertical="center"/>
    </xf>
    <xf numFmtId="49" fontId="17" fillId="0" borderId="79" xfId="3" applyNumberFormat="1" applyFont="1" applyBorder="1" applyAlignment="1">
      <alignment horizontal="left" vertical="center"/>
    </xf>
    <xf numFmtId="49" fontId="17" fillId="0" borderId="37" xfId="3" applyNumberFormat="1" applyFont="1" applyBorder="1" applyAlignment="1">
      <alignment horizontal="left" vertical="center"/>
    </xf>
    <xf numFmtId="49" fontId="17" fillId="0" borderId="40" xfId="3" applyNumberFormat="1" applyFont="1" applyBorder="1" applyAlignment="1">
      <alignment horizontal="left" vertical="center"/>
    </xf>
    <xf numFmtId="49" fontId="17" fillId="0" borderId="75" xfId="9" applyNumberFormat="1" applyFont="1" applyBorder="1" applyAlignment="1">
      <alignment horizontal="left" vertical="center"/>
    </xf>
    <xf numFmtId="49" fontId="17" fillId="0" borderId="76" xfId="9" applyNumberFormat="1" applyFont="1" applyBorder="1" applyAlignment="1">
      <alignment horizontal="left" vertical="center"/>
    </xf>
    <xf numFmtId="49" fontId="17" fillId="0" borderId="77" xfId="9" applyNumberFormat="1" applyFont="1" applyBorder="1" applyAlignment="1">
      <alignment horizontal="left" vertical="center"/>
    </xf>
    <xf numFmtId="49" fontId="17" fillId="0" borderId="38" xfId="9" applyNumberFormat="1" applyFont="1" applyBorder="1" applyAlignment="1">
      <alignment horizontal="left" vertical="center"/>
    </xf>
    <xf numFmtId="49" fontId="17" fillId="0" borderId="0" xfId="9" applyNumberFormat="1" applyFont="1" applyAlignment="1">
      <alignment horizontal="left" vertical="center"/>
    </xf>
    <xf numFmtId="49" fontId="17" fillId="0" borderId="8" xfId="9" applyNumberFormat="1" applyFont="1" applyBorder="1" applyAlignment="1">
      <alignment horizontal="left" vertical="center"/>
    </xf>
    <xf numFmtId="49" fontId="17" fillId="0" borderId="39" xfId="9" applyNumberFormat="1" applyFont="1" applyBorder="1" applyAlignment="1">
      <alignment horizontal="left" vertical="center"/>
    </xf>
    <xf numFmtId="49" fontId="17" fillId="0" borderId="10" xfId="9" applyNumberFormat="1" applyFont="1" applyBorder="1" applyAlignment="1">
      <alignment horizontal="left" vertical="center"/>
    </xf>
    <xf numFmtId="49" fontId="17" fillId="0" borderId="11" xfId="9" applyNumberFormat="1" applyFont="1" applyBorder="1" applyAlignment="1">
      <alignment horizontal="left" vertical="center"/>
    </xf>
    <xf numFmtId="49" fontId="17" fillId="0" borderId="78" xfId="9" applyNumberFormat="1" applyFont="1" applyBorder="1" applyAlignment="1">
      <alignment horizontal="left" vertical="center"/>
    </xf>
    <xf numFmtId="49" fontId="17" fillId="0" borderId="7" xfId="9" applyNumberFormat="1" applyFont="1" applyBorder="1" applyAlignment="1">
      <alignment horizontal="left" vertical="center"/>
    </xf>
    <xf numFmtId="49" fontId="17" fillId="0" borderId="9" xfId="9" applyNumberFormat="1" applyFont="1" applyBorder="1" applyAlignment="1">
      <alignment horizontal="left" vertical="center"/>
    </xf>
    <xf numFmtId="49" fontId="17" fillId="0" borderId="60" xfId="3" applyNumberFormat="1" applyFont="1" applyBorder="1" applyAlignment="1">
      <alignment horizontal="center" vertical="center"/>
    </xf>
    <xf numFmtId="49" fontId="17" fillId="0" borderId="61" xfId="3" applyNumberFormat="1" applyFont="1" applyBorder="1" applyAlignment="1">
      <alignment horizontal="center" vertical="center"/>
    </xf>
    <xf numFmtId="49" fontId="17" fillId="0" borderId="60" xfId="3" applyNumberFormat="1" applyFont="1" applyBorder="1" applyAlignment="1">
      <alignment horizontal="center" vertical="center" wrapText="1" shrinkToFit="1"/>
    </xf>
    <xf numFmtId="49" fontId="17" fillId="0" borderId="61" xfId="3" applyNumberFormat="1" applyFont="1" applyBorder="1" applyAlignment="1">
      <alignment horizontal="center" vertical="center" wrapText="1" shrinkToFit="1"/>
    </xf>
    <xf numFmtId="49" fontId="17" fillId="0" borderId="60" xfId="3" applyNumberFormat="1" applyFont="1" applyBorder="1" applyAlignment="1">
      <alignment horizontal="center" vertical="center" wrapText="1"/>
    </xf>
    <xf numFmtId="0" fontId="22" fillId="0" borderId="0" xfId="3" applyFont="1" applyAlignment="1">
      <alignment horizontal="left" vertical="center"/>
    </xf>
    <xf numFmtId="0" fontId="22" fillId="0" borderId="10" xfId="3" applyFont="1" applyBorder="1" applyAlignment="1">
      <alignment horizontal="left" vertical="center"/>
    </xf>
    <xf numFmtId="49" fontId="17" fillId="0" borderId="68" xfId="9" applyNumberFormat="1" applyFont="1" applyBorder="1" applyAlignment="1">
      <alignment horizontal="center" vertical="center"/>
    </xf>
    <xf numFmtId="49" fontId="17" fillId="0" borderId="5" xfId="9" applyNumberFormat="1" applyFont="1" applyBorder="1" applyAlignment="1">
      <alignment horizontal="center" vertical="center"/>
    </xf>
    <xf numFmtId="49" fontId="17" fillId="0" borderId="6" xfId="9" applyNumberFormat="1" applyFont="1" applyBorder="1" applyAlignment="1">
      <alignment horizontal="center" vertical="center"/>
    </xf>
    <xf numFmtId="49" fontId="17" fillId="0" borderId="38" xfId="9" applyNumberFormat="1" applyFont="1" applyBorder="1" applyAlignment="1">
      <alignment horizontal="center" vertical="center"/>
    </xf>
    <xf numFmtId="49" fontId="17" fillId="0" borderId="0" xfId="9" applyNumberFormat="1" applyFont="1" applyAlignment="1">
      <alignment horizontal="center" vertical="center"/>
    </xf>
    <xf numFmtId="49" fontId="17" fillId="0" borderId="8" xfId="9" applyNumberFormat="1" applyFont="1" applyBorder="1" applyAlignment="1">
      <alignment horizontal="center" vertical="center"/>
    </xf>
    <xf numFmtId="49" fontId="17" fillId="0" borderId="70" xfId="9" applyNumberFormat="1" applyFont="1" applyBorder="1" applyAlignment="1">
      <alignment horizontal="center" vertical="center"/>
    </xf>
    <xf numFmtId="49" fontId="17" fillId="0" borderId="71" xfId="9" applyNumberFormat="1" applyFont="1" applyBorder="1" applyAlignment="1">
      <alignment horizontal="center" vertical="center"/>
    </xf>
    <xf numFmtId="49" fontId="17" fillId="0" borderId="72" xfId="9" applyNumberFormat="1" applyFont="1" applyBorder="1" applyAlignment="1">
      <alignment horizontal="center" vertical="center"/>
    </xf>
    <xf numFmtId="49" fontId="17" fillId="0" borderId="4" xfId="3" applyNumberFormat="1" applyFont="1" applyBorder="1" applyAlignment="1">
      <alignment horizontal="center" vertical="center"/>
    </xf>
    <xf numFmtId="49" fontId="17" fillId="0" borderId="5" xfId="3" applyNumberFormat="1" applyFont="1" applyBorder="1" applyAlignment="1">
      <alignment horizontal="center" vertical="center"/>
    </xf>
    <xf numFmtId="49" fontId="17" fillId="0" borderId="6" xfId="3" applyNumberFormat="1" applyFont="1" applyBorder="1" applyAlignment="1">
      <alignment horizontal="center" vertical="center"/>
    </xf>
    <xf numFmtId="49" fontId="17" fillId="0" borderId="7" xfId="3" applyNumberFormat="1" applyFont="1" applyBorder="1" applyAlignment="1">
      <alignment horizontal="center" vertical="center"/>
    </xf>
    <xf numFmtId="49" fontId="17" fillId="0" borderId="0" xfId="3" applyNumberFormat="1" applyFont="1" applyAlignment="1">
      <alignment horizontal="center" vertical="center"/>
    </xf>
    <xf numFmtId="49" fontId="17" fillId="0" borderId="8" xfId="3" applyNumberFormat="1" applyFont="1" applyBorder="1" applyAlignment="1">
      <alignment horizontal="center" vertical="center"/>
    </xf>
    <xf numFmtId="49" fontId="17" fillId="0" borderId="73" xfId="3" applyNumberFormat="1" applyFont="1" applyBorder="1" applyAlignment="1">
      <alignment horizontal="center" vertical="center"/>
    </xf>
    <xf numFmtId="49" fontId="17" fillId="0" borderId="71" xfId="3" applyNumberFormat="1" applyFont="1" applyBorder="1" applyAlignment="1">
      <alignment horizontal="center" vertical="center"/>
    </xf>
    <xf numFmtId="49" fontId="17" fillId="0" borderId="72" xfId="3" applyNumberFormat="1" applyFont="1" applyBorder="1" applyAlignment="1">
      <alignment horizontal="center" vertical="center"/>
    </xf>
    <xf numFmtId="49" fontId="17" fillId="0" borderId="1" xfId="3" applyNumberFormat="1" applyFont="1" applyBorder="1" applyAlignment="1">
      <alignment horizontal="center" vertical="center"/>
    </xf>
    <xf numFmtId="49" fontId="17" fillId="0" borderId="2" xfId="3" applyNumberFormat="1" applyFont="1" applyBorder="1" applyAlignment="1">
      <alignment horizontal="center" vertical="center"/>
    </xf>
    <xf numFmtId="49" fontId="17" fillId="0" borderId="3" xfId="3" applyNumberFormat="1" applyFont="1" applyBorder="1" applyAlignment="1">
      <alignment horizontal="center" vertical="center"/>
    </xf>
    <xf numFmtId="49" fontId="17" fillId="0" borderId="55" xfId="3" applyNumberFormat="1" applyFont="1" applyBorder="1" applyAlignment="1">
      <alignment horizontal="center" vertical="center"/>
    </xf>
    <xf numFmtId="49" fontId="17" fillId="0" borderId="4" xfId="3" applyNumberFormat="1" applyFont="1" applyBorder="1" applyAlignment="1">
      <alignment horizontal="center" vertical="center" wrapText="1"/>
    </xf>
    <xf numFmtId="49" fontId="17" fillId="0" borderId="6" xfId="3" applyNumberFormat="1" applyFont="1" applyBorder="1" applyAlignment="1">
      <alignment horizontal="center" vertical="center" wrapText="1"/>
    </xf>
    <xf numFmtId="49" fontId="17" fillId="0" borderId="7" xfId="3" applyNumberFormat="1" applyFont="1" applyBorder="1" applyAlignment="1">
      <alignment horizontal="center" vertical="center" wrapText="1"/>
    </xf>
    <xf numFmtId="49" fontId="17" fillId="0" borderId="8" xfId="3" applyNumberFormat="1" applyFont="1" applyBorder="1" applyAlignment="1">
      <alignment horizontal="center" vertical="center" wrapText="1"/>
    </xf>
    <xf numFmtId="49" fontId="17" fillId="0" borderId="73" xfId="3" applyNumberFormat="1" applyFont="1" applyBorder="1" applyAlignment="1">
      <alignment horizontal="center" vertical="center" wrapText="1"/>
    </xf>
    <xf numFmtId="49" fontId="17" fillId="0" borderId="72" xfId="3" applyNumberFormat="1" applyFont="1" applyBorder="1" applyAlignment="1">
      <alignment horizontal="center" vertical="center" wrapText="1"/>
    </xf>
    <xf numFmtId="49" fontId="17" fillId="0" borderId="5" xfId="3" applyNumberFormat="1" applyFont="1" applyBorder="1" applyAlignment="1">
      <alignment horizontal="center" vertical="center" wrapText="1"/>
    </xf>
    <xf numFmtId="49" fontId="17" fillId="0" borderId="0" xfId="3" applyNumberFormat="1" applyFont="1" applyAlignment="1">
      <alignment horizontal="center" vertical="center" wrapText="1"/>
    </xf>
    <xf numFmtId="49" fontId="17" fillId="0" borderId="71" xfId="3" applyNumberFormat="1" applyFont="1" applyBorder="1" applyAlignment="1">
      <alignment horizontal="center" vertical="center" wrapText="1"/>
    </xf>
    <xf numFmtId="49" fontId="17" fillId="0" borderId="12" xfId="3" applyNumberFormat="1" applyFont="1" applyBorder="1" applyAlignment="1">
      <alignment horizontal="center" vertical="center"/>
    </xf>
    <xf numFmtId="49" fontId="17" fillId="0" borderId="1" xfId="3" applyNumberFormat="1" applyFont="1" applyBorder="1" applyAlignment="1">
      <alignment horizontal="center" vertical="center" wrapText="1"/>
    </xf>
    <xf numFmtId="49" fontId="17" fillId="0" borderId="2" xfId="3" applyNumberFormat="1" applyFont="1" applyBorder="1" applyAlignment="1">
      <alignment horizontal="center" vertical="center" wrapText="1"/>
    </xf>
    <xf numFmtId="49" fontId="17" fillId="0" borderId="3" xfId="3" applyNumberFormat="1" applyFont="1" applyBorder="1" applyAlignment="1">
      <alignment horizontal="center" vertical="center" wrapText="1"/>
    </xf>
    <xf numFmtId="49" fontId="17" fillId="0" borderId="69" xfId="3" applyNumberFormat="1" applyFont="1" applyBorder="1" applyAlignment="1">
      <alignment horizontal="center" vertical="center" wrapText="1"/>
    </xf>
    <xf numFmtId="49" fontId="17" fillId="0" borderId="37" xfId="3" applyNumberFormat="1" applyFont="1" applyBorder="1" applyAlignment="1">
      <alignment horizontal="center" vertical="center" wrapText="1"/>
    </xf>
    <xf numFmtId="49" fontId="17" fillId="0" borderId="74" xfId="3" applyNumberFormat="1" applyFont="1" applyBorder="1" applyAlignment="1">
      <alignment horizontal="center" vertical="center" wrapText="1"/>
    </xf>
    <xf numFmtId="49" fontId="12" fillId="0" borderId="1" xfId="3" applyNumberFormat="1" applyFont="1" applyBorder="1" applyAlignment="1">
      <alignment horizontal="left" vertical="top" wrapText="1"/>
    </xf>
    <xf numFmtId="49" fontId="12" fillId="0" borderId="2" xfId="3" applyNumberFormat="1" applyFont="1" applyBorder="1" applyAlignment="1">
      <alignment horizontal="left" vertical="top" wrapText="1"/>
    </xf>
    <xf numFmtId="49" fontId="12" fillId="0" borderId="55" xfId="3" applyNumberFormat="1" applyFont="1" applyBorder="1" applyAlignment="1">
      <alignment horizontal="left" vertical="top" wrapText="1"/>
    </xf>
    <xf numFmtId="49" fontId="12" fillId="0" borderId="21" xfId="3" applyNumberFormat="1" applyFont="1" applyBorder="1" applyAlignment="1">
      <alignment horizontal="left" vertical="top" wrapText="1"/>
    </xf>
    <xf numFmtId="49" fontId="12" fillId="0" borderId="22" xfId="3" applyNumberFormat="1" applyFont="1" applyBorder="1" applyAlignment="1">
      <alignment horizontal="left" vertical="top" wrapText="1"/>
    </xf>
    <xf numFmtId="49" fontId="12" fillId="0" borderId="23" xfId="3" applyNumberFormat="1" applyFont="1" applyBorder="1" applyAlignment="1">
      <alignment horizontal="left" vertical="top" wrapText="1"/>
    </xf>
    <xf numFmtId="49" fontId="7" fillId="0" borderId="1" xfId="3" applyNumberFormat="1" applyFont="1" applyBorder="1" applyAlignment="1">
      <alignment horizontal="left" vertical="top" wrapText="1"/>
    </xf>
    <xf numFmtId="49" fontId="7" fillId="0" borderId="2" xfId="3" applyNumberFormat="1" applyFont="1" applyBorder="1" applyAlignment="1">
      <alignment horizontal="left" vertical="top" wrapText="1"/>
    </xf>
    <xf numFmtId="49" fontId="7" fillId="0" borderId="55" xfId="3" applyNumberFormat="1" applyFont="1" applyBorder="1" applyAlignment="1">
      <alignment horizontal="left" vertical="top" wrapText="1"/>
    </xf>
    <xf numFmtId="0" fontId="12" fillId="0" borderId="13" xfId="3" applyFont="1" applyBorder="1" applyAlignment="1">
      <alignment horizontal="center"/>
    </xf>
    <xf numFmtId="0" fontId="12" fillId="0" borderId="14" xfId="3" applyFont="1" applyBorder="1" applyAlignment="1">
      <alignment horizontal="center"/>
    </xf>
    <xf numFmtId="0" fontId="12" fillId="0" borderId="15" xfId="3" applyFont="1" applyBorder="1" applyAlignment="1">
      <alignment horizontal="left"/>
    </xf>
    <xf numFmtId="0" fontId="12" fillId="0" borderId="16" xfId="3" applyFont="1" applyBorder="1" applyAlignment="1">
      <alignment horizontal="left"/>
    </xf>
    <xf numFmtId="0" fontId="12" fillId="0" borderId="17" xfId="3" applyFont="1" applyBorder="1" applyAlignment="1">
      <alignment horizontal="left"/>
    </xf>
    <xf numFmtId="0" fontId="12" fillId="0" borderId="80" xfId="3" applyFont="1" applyBorder="1" applyAlignment="1">
      <alignment horizontal="center"/>
    </xf>
    <xf numFmtId="0" fontId="12" fillId="0" borderId="66" xfId="3" applyFont="1" applyBorder="1" applyAlignment="1">
      <alignment horizontal="center"/>
    </xf>
    <xf numFmtId="0" fontId="12" fillId="0" borderId="4" xfId="3" applyFont="1" applyBorder="1" applyAlignment="1">
      <alignment horizontal="left"/>
    </xf>
    <xf numFmtId="0" fontId="12" fillId="0" borderId="5" xfId="3" applyFont="1" applyBorder="1" applyAlignment="1">
      <alignment horizontal="left"/>
    </xf>
    <xf numFmtId="0" fontId="12" fillId="0" borderId="69" xfId="3" applyFont="1" applyBorder="1" applyAlignment="1">
      <alignment horizontal="left"/>
    </xf>
  </cellXfs>
  <cellStyles count="10">
    <cellStyle name="標準" xfId="0" builtinId="0"/>
    <cellStyle name="標準 2" xfId="1" xr:uid="{8A002B5F-50EF-46F3-8AE6-0953846D0473}"/>
    <cellStyle name="標準 3" xfId="5" xr:uid="{F02C279E-DC82-4743-8701-4542A6140D82}"/>
    <cellStyle name="標準 3 2" xfId="2" xr:uid="{B205312D-EBBC-43FD-88B0-3154AEDBA303}"/>
    <cellStyle name="標準 3 2 2" xfId="7" xr:uid="{6FF178A2-B8D7-4788-82CD-0EA2DE15A83D}"/>
    <cellStyle name="標準 3 2 3" xfId="6" xr:uid="{B7BAA431-78EB-46A6-9A15-A775C75AA8B0}"/>
    <cellStyle name="標準 3 3" xfId="8" xr:uid="{F9EFF710-81FE-46AC-845F-A6A3CBECAF15}"/>
    <cellStyle name="標準_0001_基本フォーマット" xfId="3" xr:uid="{1C84B110-5235-40FA-B93E-EC7438C0B88B}"/>
    <cellStyle name="標準_１．業務処理内容説明書" xfId="4" xr:uid="{765C4B52-152B-46D0-BA68-47F97CA615DF}"/>
    <cellStyle name="標準_パラメータ設計書" xfId="9" xr:uid="{F612B656-CA68-49C7-BD85-3E98AA75FCD1}"/>
  </cellStyles>
  <dxfs count="0"/>
  <tableStyles count="0" defaultTableStyle="TableStyleMedium2" defaultPivotStyle="PivotStyleLight16"/>
  <colors>
    <mruColors>
      <color rgb="FFFF99FF"/>
      <color rgb="FFFFCCFF"/>
      <color rgb="FFFFF2CC"/>
      <color rgb="FFA162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53788</xdr:colOff>
      <xdr:row>0</xdr:row>
      <xdr:rowOff>26894</xdr:rowOff>
    </xdr:from>
    <xdr:to>
      <xdr:col>5</xdr:col>
      <xdr:colOff>310091</xdr:colOff>
      <xdr:row>1</xdr:row>
      <xdr:rowOff>2657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BDDA441-70B5-4C81-B728-E9FFBAA51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788" y="26894"/>
          <a:ext cx="3685303" cy="2138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157114</xdr:colOff>
      <xdr:row>12</xdr:row>
      <xdr:rowOff>78558</xdr:rowOff>
    </xdr:from>
    <xdr:to>
      <xdr:col>35</xdr:col>
      <xdr:colOff>78558</xdr:colOff>
      <xdr:row>24</xdr:row>
      <xdr:rowOff>9820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7779E7ED-3237-470A-A3E4-AB39747EFA3F}"/>
            </a:ext>
          </a:extLst>
        </xdr:cNvPr>
        <xdr:cNvSpPr/>
      </xdr:nvSpPr>
      <xdr:spPr>
        <a:xfrm>
          <a:off x="4242062" y="2425439"/>
          <a:ext cx="5695362" cy="2052293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304660</xdr:colOff>
      <xdr:row>37</xdr:row>
      <xdr:rowOff>27494</xdr:rowOff>
    </xdr:from>
    <xdr:to>
      <xdr:col>9</xdr:col>
      <xdr:colOff>32518</xdr:colOff>
      <xdr:row>38</xdr:row>
      <xdr:rowOff>65594</xdr:rowOff>
    </xdr:to>
    <xdr:sp macro="" textlink="">
      <xdr:nvSpPr>
        <xdr:cNvPr id="3" name="Text Box 19">
          <a:extLst>
            <a:ext uri="{FF2B5EF4-FFF2-40B4-BE49-F238E27FC236}">
              <a16:creationId xmlns:a16="http://schemas.microsoft.com/office/drawing/2014/main" id="{0FBF5D2C-9BFB-42D7-9FC3-3F5C6EAE74FC}"/>
            </a:ext>
          </a:extLst>
        </xdr:cNvPr>
        <xdr:cNvSpPr txBox="1">
          <a:spLocks noChangeArrowheads="1"/>
        </xdr:cNvSpPr>
      </xdr:nvSpPr>
      <xdr:spPr bwMode="auto">
        <a:xfrm>
          <a:off x="1962010" y="7285544"/>
          <a:ext cx="794658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overflow" horzOverflow="overflow" wrap="none" lIns="18288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バッチ</a:t>
          </a:r>
        </a:p>
      </xdr:txBody>
    </xdr:sp>
    <xdr:clientData/>
  </xdr:twoCellAnchor>
  <xdr:twoCellAnchor>
    <xdr:from>
      <xdr:col>3</xdr:col>
      <xdr:colOff>34839</xdr:colOff>
      <xdr:row>36</xdr:row>
      <xdr:rowOff>63521</xdr:rowOff>
    </xdr:from>
    <xdr:to>
      <xdr:col>6</xdr:col>
      <xdr:colOff>247511</xdr:colOff>
      <xdr:row>38</xdr:row>
      <xdr:rowOff>171388</xdr:rowOff>
    </xdr:to>
    <xdr:sp macro="" textlink="">
      <xdr:nvSpPr>
        <xdr:cNvPr id="4" name="Rectangle 20">
          <a:extLst>
            <a:ext uri="{FF2B5EF4-FFF2-40B4-BE49-F238E27FC236}">
              <a16:creationId xmlns:a16="http://schemas.microsoft.com/office/drawing/2014/main" id="{4EB24EB8-82DD-491B-9A04-C07285DD236B}"/>
            </a:ext>
          </a:extLst>
        </xdr:cNvPr>
        <xdr:cNvSpPr>
          <a:spLocks noChangeArrowheads="1"/>
        </xdr:cNvSpPr>
      </xdr:nvSpPr>
      <xdr:spPr bwMode="auto">
        <a:xfrm>
          <a:off x="863514" y="7140596"/>
          <a:ext cx="1041347" cy="469817"/>
        </a:xfrm>
        <a:prstGeom prst="rect">
          <a:avLst/>
        </a:prstGeom>
        <a:solidFill>
          <a:srgbClr val="FFFFFF"/>
        </a:solidFill>
        <a:ln w="9525">
          <a:solidFill>
            <a:sysClr val="windowText" lastClr="000000"/>
          </a:solidFill>
          <a:miter lim="800000"/>
          <a:headEnd/>
          <a:tailEnd/>
        </a:ln>
      </xdr:spPr>
      <xdr:txBody>
        <a:bodyPr vertOverflow="overflow" horzOverflow="overflow" wrap="none" lIns="27432" tIns="18288" rIns="0" bIns="0" anchor="t" upright="1">
          <a:noAutofit/>
        </a:bodyPr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バッチ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endParaRPr lang="ja-JP" altLang="en-US" sz="8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バッチ名</a:t>
          </a:r>
        </a:p>
      </xdr:txBody>
    </xdr:sp>
    <xdr:clientData/>
  </xdr:twoCellAnchor>
  <xdr:twoCellAnchor>
    <xdr:from>
      <xdr:col>16</xdr:col>
      <xdr:colOff>2183</xdr:colOff>
      <xdr:row>36</xdr:row>
      <xdr:rowOff>90736</xdr:rowOff>
    </xdr:from>
    <xdr:to>
      <xdr:col>19</xdr:col>
      <xdr:colOff>214855</xdr:colOff>
      <xdr:row>38</xdr:row>
      <xdr:rowOff>168843</xdr:rowOff>
    </xdr:to>
    <xdr:sp macro="" textlink="">
      <xdr:nvSpPr>
        <xdr:cNvPr id="5" name="AutoShape 22">
          <a:extLst>
            <a:ext uri="{FF2B5EF4-FFF2-40B4-BE49-F238E27FC236}">
              <a16:creationId xmlns:a16="http://schemas.microsoft.com/office/drawing/2014/main" id="{0A1B5251-6FE6-4DD3-9ED6-22947B386938}"/>
            </a:ext>
          </a:extLst>
        </xdr:cNvPr>
        <xdr:cNvSpPr>
          <a:spLocks noChangeArrowheads="1"/>
        </xdr:cNvSpPr>
      </xdr:nvSpPr>
      <xdr:spPr bwMode="auto">
        <a:xfrm>
          <a:off x="4659908" y="7167811"/>
          <a:ext cx="1041347" cy="440057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  <xdr:txBody>
        <a:bodyPr vertOverflow="overflow" horzOverflow="overflow" wrap="none" lIns="0" tIns="0">
          <a:noAutofit/>
        </a:bodyPr>
        <a:lstStyle/>
        <a:p>
          <a:r>
            <a:rPr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システム名</a:t>
          </a:r>
        </a:p>
      </xdr:txBody>
    </xdr:sp>
    <xdr:clientData/>
  </xdr:twoCellAnchor>
  <xdr:twoCellAnchor>
    <xdr:from>
      <xdr:col>19</xdr:col>
      <xdr:colOff>214855</xdr:colOff>
      <xdr:row>37</xdr:row>
      <xdr:rowOff>49986</xdr:rowOff>
    </xdr:from>
    <xdr:to>
      <xdr:col>23</xdr:col>
      <xdr:colOff>208739</xdr:colOff>
      <xdr:row>38</xdr:row>
      <xdr:rowOff>89081</xdr:rowOff>
    </xdr:to>
    <xdr:sp macro="" textlink="">
      <xdr:nvSpPr>
        <xdr:cNvPr id="6" name="Text Box 23">
          <a:extLst>
            <a:ext uri="{FF2B5EF4-FFF2-40B4-BE49-F238E27FC236}">
              <a16:creationId xmlns:a16="http://schemas.microsoft.com/office/drawing/2014/main" id="{0498EB95-6FDE-4626-8384-2E1BEF500F5C}"/>
            </a:ext>
          </a:extLst>
        </xdr:cNvPr>
        <xdr:cNvSpPr txBox="1">
          <a:spLocks noChangeArrowheads="1"/>
        </xdr:cNvSpPr>
      </xdr:nvSpPr>
      <xdr:spPr bwMode="auto">
        <a:xfrm>
          <a:off x="5701255" y="7308036"/>
          <a:ext cx="1098784" cy="220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overflow" horzOverflow="overflow" wrap="none" lIns="18288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他システム</a:t>
          </a:r>
        </a:p>
      </xdr:txBody>
    </xdr:sp>
    <xdr:clientData/>
  </xdr:twoCellAnchor>
  <xdr:twoCellAnchor>
    <xdr:from>
      <xdr:col>8</xdr:col>
      <xdr:colOff>266977</xdr:colOff>
      <xdr:row>36</xdr:row>
      <xdr:rowOff>66339</xdr:rowOff>
    </xdr:from>
    <xdr:to>
      <xdr:col>12</xdr:col>
      <xdr:colOff>255131</xdr:colOff>
      <xdr:row>38</xdr:row>
      <xdr:rowOff>174204</xdr:rowOff>
    </xdr:to>
    <xdr:sp macro="" textlink="">
      <xdr:nvSpPr>
        <xdr:cNvPr id="7" name="AutoShape 139">
          <a:extLst>
            <a:ext uri="{FF2B5EF4-FFF2-40B4-BE49-F238E27FC236}">
              <a16:creationId xmlns:a16="http://schemas.microsoft.com/office/drawing/2014/main" id="{8ABC9EA2-9309-4DCD-871E-4216E052A9D1}"/>
            </a:ext>
          </a:extLst>
        </xdr:cNvPr>
        <xdr:cNvSpPr>
          <a:spLocks noChangeArrowheads="1"/>
        </xdr:cNvSpPr>
      </xdr:nvSpPr>
      <xdr:spPr bwMode="auto">
        <a:xfrm>
          <a:off x="2714902" y="7143414"/>
          <a:ext cx="1093054" cy="469815"/>
        </a:xfrm>
        <a:prstGeom prst="flowChartOnlineStorage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overflow" horzOverflow="overflow" wrap="none" lIns="27432" tIns="18288" rIns="0" bIns="18288" anchor="ctr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ファイル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endParaRPr lang="ja-JP" altLang="en-US" sz="800" b="0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ファイル名</a:t>
          </a:r>
        </a:p>
      </xdr:txBody>
    </xdr:sp>
    <xdr:clientData/>
  </xdr:twoCellAnchor>
  <xdr:twoCellAnchor>
    <xdr:from>
      <xdr:col>12</xdr:col>
      <xdr:colOff>255131</xdr:colOff>
      <xdr:row>37</xdr:row>
      <xdr:rowOff>23678</xdr:rowOff>
    </xdr:from>
    <xdr:to>
      <xdr:col>14</xdr:col>
      <xdr:colOff>207779</xdr:colOff>
      <xdr:row>38</xdr:row>
      <xdr:rowOff>27743</xdr:rowOff>
    </xdr:to>
    <xdr:sp macro="" textlink="">
      <xdr:nvSpPr>
        <xdr:cNvPr id="8" name="Text Box 142">
          <a:extLst>
            <a:ext uri="{FF2B5EF4-FFF2-40B4-BE49-F238E27FC236}">
              <a16:creationId xmlns:a16="http://schemas.microsoft.com/office/drawing/2014/main" id="{E13D8245-E951-4124-A4E6-03BF1D62F224}"/>
            </a:ext>
          </a:extLst>
        </xdr:cNvPr>
        <xdr:cNvSpPr txBox="1">
          <a:spLocks noChangeArrowheads="1"/>
        </xdr:cNvSpPr>
      </xdr:nvSpPr>
      <xdr:spPr bwMode="auto">
        <a:xfrm>
          <a:off x="3807956" y="7281728"/>
          <a:ext cx="505098" cy="185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overflow" horzOverflow="overflow" wrap="none" lIns="18288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ファイル</a:t>
          </a:r>
        </a:p>
      </xdr:txBody>
    </xdr:sp>
    <xdr:clientData/>
  </xdr:twoCellAnchor>
  <xdr:twoCellAnchor>
    <xdr:from>
      <xdr:col>1</xdr:col>
      <xdr:colOff>75599</xdr:colOff>
      <xdr:row>31</xdr:row>
      <xdr:rowOff>93529</xdr:rowOff>
    </xdr:from>
    <xdr:to>
      <xdr:col>43</xdr:col>
      <xdr:colOff>132748</xdr:colOff>
      <xdr:row>40</xdr:row>
      <xdr:rowOff>55429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39A8BC10-B21C-4CEA-89BB-D0A98D56EB4C}"/>
            </a:ext>
          </a:extLst>
        </xdr:cNvPr>
        <xdr:cNvSpPr/>
      </xdr:nvSpPr>
      <xdr:spPr>
        <a:xfrm>
          <a:off x="351824" y="6265729"/>
          <a:ext cx="11896724" cy="1590675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noAutofit/>
        </a:bodyPr>
        <a:lstStyle/>
        <a:p>
          <a:pPr algn="l"/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31</xdr:row>
      <xdr:rowOff>0</xdr:rowOff>
    </xdr:from>
    <xdr:to>
      <xdr:col>3</xdr:col>
      <xdr:colOff>96471</xdr:colOff>
      <xdr:row>32</xdr:row>
      <xdr:rowOff>95516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EA04FF79-7D14-45D3-BF4C-749509B4A95C}"/>
            </a:ext>
          </a:extLst>
        </xdr:cNvPr>
        <xdr:cNvSpPr txBox="1">
          <a:spLocks noChangeArrowheads="1"/>
        </xdr:cNvSpPr>
      </xdr:nvSpPr>
      <xdr:spPr bwMode="auto">
        <a:xfrm>
          <a:off x="276225" y="6172200"/>
          <a:ext cx="648921" cy="276491"/>
        </a:xfrm>
        <a:prstGeom prst="rect">
          <a:avLst/>
        </a:prstGeom>
        <a:solidFill>
          <a:sysClr val="window" lastClr="FFFFFF"/>
        </a:solidFill>
        <a:ln>
          <a:noFill/>
        </a:ln>
      </xdr:spPr>
      <xdr:txBody>
        <a:bodyPr vertOverflow="overflow" horzOverflow="overflow" wrap="none" lIns="27432" tIns="18288" rIns="0" bIns="0" anchor="ctr" upright="1">
          <a:noAutofit/>
        </a:bodyPr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&lt;&lt;凡例&gt;&gt;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57450</xdr:colOff>
      <xdr:row>0</xdr:row>
      <xdr:rowOff>208845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87BAC047-5651-49A3-B004-9A6A2BD44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610275" cy="20884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33</xdr:row>
      <xdr:rowOff>47183</xdr:rowOff>
    </xdr:from>
    <xdr:to>
      <xdr:col>6</xdr:col>
      <xdr:colOff>261257</xdr:colOff>
      <xdr:row>33</xdr:row>
      <xdr:rowOff>177811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E76347E8-2E42-4139-85DE-BF862832C1F8}"/>
            </a:ext>
          </a:extLst>
        </xdr:cNvPr>
        <xdr:cNvSpPr/>
      </xdr:nvSpPr>
      <xdr:spPr>
        <a:xfrm>
          <a:off x="828675" y="6581333"/>
          <a:ext cx="1089932" cy="130628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293774</xdr:colOff>
      <xdr:row>33</xdr:row>
      <xdr:rowOff>0</xdr:rowOff>
    </xdr:from>
    <xdr:to>
      <xdr:col>8</xdr:col>
      <xdr:colOff>43403</xdr:colOff>
      <xdr:row>34</xdr:row>
      <xdr:rowOff>48985</xdr:rowOff>
    </xdr:to>
    <xdr:sp macro="" textlink="">
      <xdr:nvSpPr>
        <xdr:cNvPr id="24" name="Text Box 19">
          <a:extLst>
            <a:ext uri="{FF2B5EF4-FFF2-40B4-BE49-F238E27FC236}">
              <a16:creationId xmlns:a16="http://schemas.microsoft.com/office/drawing/2014/main" id="{9FE4E6DE-9809-4B73-B6E1-3815C2E377D9}"/>
            </a:ext>
          </a:extLst>
        </xdr:cNvPr>
        <xdr:cNvSpPr txBox="1">
          <a:spLocks noChangeArrowheads="1"/>
        </xdr:cNvSpPr>
      </xdr:nvSpPr>
      <xdr:spPr bwMode="auto">
        <a:xfrm>
          <a:off x="1951124" y="6534150"/>
          <a:ext cx="540204" cy="229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overflow" horzOverflow="overflow" wrap="none" lIns="18288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本設計対象範囲</a:t>
          </a:r>
        </a:p>
      </xdr:txBody>
    </xdr:sp>
    <xdr:clientData/>
  </xdr:twoCellAnchor>
  <xdr:twoCellAnchor>
    <xdr:from>
      <xdr:col>23</xdr:col>
      <xdr:colOff>54429</xdr:colOff>
      <xdr:row>36</xdr:row>
      <xdr:rowOff>43542</xdr:rowOff>
    </xdr:from>
    <xdr:to>
      <xdr:col>26</xdr:col>
      <xdr:colOff>17618</xdr:colOff>
      <xdr:row>39</xdr:row>
      <xdr:rowOff>66998</xdr:rowOff>
    </xdr:to>
    <xdr:sp macro="" textlink="">
      <xdr:nvSpPr>
        <xdr:cNvPr id="25" name="AutoShape 140">
          <a:extLst>
            <a:ext uri="{FF2B5EF4-FFF2-40B4-BE49-F238E27FC236}">
              <a16:creationId xmlns:a16="http://schemas.microsoft.com/office/drawing/2014/main" id="{A992A863-DCD2-4251-98E6-091B7461FBBF}"/>
            </a:ext>
          </a:extLst>
        </xdr:cNvPr>
        <xdr:cNvSpPr>
          <a:spLocks noChangeArrowheads="1"/>
        </xdr:cNvSpPr>
      </xdr:nvSpPr>
      <xdr:spPr bwMode="auto">
        <a:xfrm>
          <a:off x="6645729" y="7120617"/>
          <a:ext cx="791864" cy="566381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テーブル名</a:t>
          </a:r>
        </a:p>
      </xdr:txBody>
    </xdr:sp>
    <xdr:clientData/>
  </xdr:twoCellAnchor>
  <xdr:twoCellAnchor>
    <xdr:from>
      <xdr:col>26</xdr:col>
      <xdr:colOff>146459</xdr:colOff>
      <xdr:row>36</xdr:row>
      <xdr:rowOff>163180</xdr:rowOff>
    </xdr:from>
    <xdr:to>
      <xdr:col>28</xdr:col>
      <xdr:colOff>95162</xdr:colOff>
      <xdr:row>37</xdr:row>
      <xdr:rowOff>178131</xdr:rowOff>
    </xdr:to>
    <xdr:sp macro="" textlink="">
      <xdr:nvSpPr>
        <xdr:cNvPr id="26" name="Text Box 142">
          <a:extLst>
            <a:ext uri="{FF2B5EF4-FFF2-40B4-BE49-F238E27FC236}">
              <a16:creationId xmlns:a16="http://schemas.microsoft.com/office/drawing/2014/main" id="{E03476CA-A718-43B2-B810-20079E2368B7}"/>
            </a:ext>
          </a:extLst>
        </xdr:cNvPr>
        <xdr:cNvSpPr txBox="1">
          <a:spLocks noChangeArrowheads="1"/>
        </xdr:cNvSpPr>
      </xdr:nvSpPr>
      <xdr:spPr bwMode="auto">
        <a:xfrm>
          <a:off x="7566434" y="7240255"/>
          <a:ext cx="501153" cy="1959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overflow" horzOverflow="overflow" wrap="none" lIns="18288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テーブル名</a:t>
          </a:r>
        </a:p>
      </xdr:txBody>
    </xdr:sp>
    <xdr:clientData/>
  </xdr:twoCellAnchor>
  <xdr:twoCellAnchor>
    <xdr:from>
      <xdr:col>6</xdr:col>
      <xdr:colOff>364894</xdr:colOff>
      <xdr:row>10</xdr:row>
      <xdr:rowOff>140014</xdr:rowOff>
    </xdr:from>
    <xdr:to>
      <xdr:col>11</xdr:col>
      <xdr:colOff>21167</xdr:colOff>
      <xdr:row>13</xdr:row>
      <xdr:rowOff>168412</xdr:rowOff>
    </xdr:to>
    <xdr:sp macro="" textlink="">
      <xdr:nvSpPr>
        <xdr:cNvPr id="87" name="Rectangle 20">
          <a:extLst>
            <a:ext uri="{FF2B5EF4-FFF2-40B4-BE49-F238E27FC236}">
              <a16:creationId xmlns:a16="http://schemas.microsoft.com/office/drawing/2014/main" id="{6D04EF81-45CB-489F-AF72-B6D468158B09}"/>
            </a:ext>
          </a:extLst>
        </xdr:cNvPr>
        <xdr:cNvSpPr>
          <a:spLocks noChangeArrowheads="1"/>
        </xdr:cNvSpPr>
      </xdr:nvSpPr>
      <xdr:spPr bwMode="auto">
        <a:xfrm>
          <a:off x="2039980" y="8449755"/>
          <a:ext cx="1282092" cy="570338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>
          <a:solidFill>
            <a:sysClr val="windowText" lastClr="000000"/>
          </a:solidFill>
          <a:miter lim="800000"/>
          <a:headEnd/>
          <a:tailEnd/>
        </a:ln>
      </xdr:spPr>
      <xdr:txBody>
        <a:bodyPr vertOverflow="overflow" horzOverflow="overflow" wrap="none" lIns="27432" tIns="18288" rIns="0" bIns="0" anchor="ctr" upright="1">
          <a:noAutofit/>
        </a:bodyPr>
        <a:lstStyle/>
        <a:p>
          <a:pPr algn="ctr" rtl="0"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BLMMGMGHANDOVER</a:t>
          </a:r>
        </a:p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担当者引継ぎ実行 </a:t>
          </a:r>
        </a:p>
      </xdr:txBody>
    </xdr:sp>
    <xdr:clientData/>
  </xdr:twoCellAnchor>
  <xdr:twoCellAnchor>
    <xdr:from>
      <xdr:col>19</xdr:col>
      <xdr:colOff>8580</xdr:colOff>
      <xdr:row>13</xdr:row>
      <xdr:rowOff>45234</xdr:rowOff>
    </xdr:from>
    <xdr:to>
      <xdr:col>22</xdr:col>
      <xdr:colOff>151651</xdr:colOff>
      <xdr:row>16</xdr:row>
      <xdr:rowOff>176724</xdr:rowOff>
    </xdr:to>
    <xdr:sp macro="" textlink="">
      <xdr:nvSpPr>
        <xdr:cNvPr id="89" name="AutoShape 140">
          <a:extLst>
            <a:ext uri="{FF2B5EF4-FFF2-40B4-BE49-F238E27FC236}">
              <a16:creationId xmlns:a16="http://schemas.microsoft.com/office/drawing/2014/main" id="{A69216D5-48E1-435E-B10A-5664204B64E9}"/>
            </a:ext>
          </a:extLst>
        </xdr:cNvPr>
        <xdr:cNvSpPr>
          <a:spLocks noChangeArrowheads="1"/>
        </xdr:cNvSpPr>
      </xdr:nvSpPr>
      <xdr:spPr bwMode="auto">
        <a:xfrm>
          <a:off x="5468271" y="2568868"/>
          <a:ext cx="967916" cy="661748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担当者情報マスタ</a:t>
          </a:r>
        </a:p>
      </xdr:txBody>
    </xdr:sp>
    <xdr:clientData/>
  </xdr:twoCellAnchor>
  <xdr:twoCellAnchor>
    <xdr:from>
      <xdr:col>22</xdr:col>
      <xdr:colOff>138994</xdr:colOff>
      <xdr:row>13</xdr:row>
      <xdr:rowOff>58265</xdr:rowOff>
    </xdr:from>
    <xdr:to>
      <xdr:col>26</xdr:col>
      <xdr:colOff>25247</xdr:colOff>
      <xdr:row>17</xdr:row>
      <xdr:rowOff>4766</xdr:rowOff>
    </xdr:to>
    <xdr:sp macro="" textlink="">
      <xdr:nvSpPr>
        <xdr:cNvPr id="93" name="AutoShape 140">
          <a:extLst>
            <a:ext uri="{FF2B5EF4-FFF2-40B4-BE49-F238E27FC236}">
              <a16:creationId xmlns:a16="http://schemas.microsoft.com/office/drawing/2014/main" id="{80FF42E8-DED0-427B-ACD3-1678EE0FB580}"/>
            </a:ext>
          </a:extLst>
        </xdr:cNvPr>
        <xdr:cNvSpPr>
          <a:spLocks noChangeArrowheads="1"/>
        </xdr:cNvSpPr>
      </xdr:nvSpPr>
      <xdr:spPr bwMode="auto">
        <a:xfrm>
          <a:off x="6423530" y="2581899"/>
          <a:ext cx="986047" cy="653511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建物マスタ</a:t>
          </a:r>
        </a:p>
      </xdr:txBody>
    </xdr:sp>
    <xdr:clientData/>
  </xdr:twoCellAnchor>
  <xdr:twoCellAnchor>
    <xdr:from>
      <xdr:col>15</xdr:col>
      <xdr:colOff>120116</xdr:colOff>
      <xdr:row>13</xdr:row>
      <xdr:rowOff>51351</xdr:rowOff>
    </xdr:from>
    <xdr:to>
      <xdr:col>19</xdr:col>
      <xdr:colOff>6368</xdr:colOff>
      <xdr:row>17</xdr:row>
      <xdr:rowOff>2914</xdr:rowOff>
    </xdr:to>
    <xdr:sp macro="" textlink="">
      <xdr:nvSpPr>
        <xdr:cNvPr id="96" name="AutoShape 140">
          <a:extLst>
            <a:ext uri="{FF2B5EF4-FFF2-40B4-BE49-F238E27FC236}">
              <a16:creationId xmlns:a16="http://schemas.microsoft.com/office/drawing/2014/main" id="{1095243F-A3FF-4956-8244-7D86193E7463}"/>
            </a:ext>
          </a:extLst>
        </xdr:cNvPr>
        <xdr:cNvSpPr>
          <a:spLocks noChangeArrowheads="1"/>
        </xdr:cNvSpPr>
      </xdr:nvSpPr>
      <xdr:spPr bwMode="auto">
        <a:xfrm>
          <a:off x="4480013" y="2574985"/>
          <a:ext cx="986046" cy="658573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営業担当引継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26</xdr:col>
      <xdr:colOff>30977</xdr:colOff>
      <xdr:row>13</xdr:row>
      <xdr:rowOff>65646</xdr:rowOff>
    </xdr:from>
    <xdr:to>
      <xdr:col>29</xdr:col>
      <xdr:colOff>213194</xdr:colOff>
      <xdr:row>17</xdr:row>
      <xdr:rowOff>4741</xdr:rowOff>
    </xdr:to>
    <xdr:sp macro="" textlink="">
      <xdr:nvSpPr>
        <xdr:cNvPr id="98" name="フローチャート: 磁気ディスク 97">
          <a:extLst>
            <a:ext uri="{FF2B5EF4-FFF2-40B4-BE49-F238E27FC236}">
              <a16:creationId xmlns:a16="http://schemas.microsoft.com/office/drawing/2014/main" id="{2B738B60-4B1E-4EC7-9452-8102DCC153CC}"/>
            </a:ext>
          </a:extLst>
        </xdr:cNvPr>
        <xdr:cNvSpPr/>
      </xdr:nvSpPr>
      <xdr:spPr>
        <a:xfrm>
          <a:off x="7415307" y="2589280"/>
          <a:ext cx="1007062" cy="646105"/>
        </a:xfrm>
        <a:prstGeom prst="flowChartMagneticDisk">
          <a:avLst/>
        </a:prstGeom>
        <a:solidFill>
          <a:sysClr val="window" lastClr="FFFFFF"/>
        </a:solidFill>
        <a:ln w="6350" cap="flat" cmpd="sng" algn="ctr">
          <a:solidFill>
            <a:sysClr val="windowText" lastClr="000000"/>
          </a:solidFill>
          <a:prstDash val="solid"/>
        </a:ln>
        <a:effectLst/>
      </xdr:spPr>
      <xdr:txBody>
        <a:bodyPr rot="0" spcFirstLastPara="0" vert="horz" wrap="squar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5pPr>
          <a:lvl6pPr marL="2286000" algn="l" defTabSz="914400" rtl="0" eaLnBrk="1" latinLnBrk="0" hangingPunct="1"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6pPr>
          <a:lvl7pPr marL="2743200" algn="l" defTabSz="914400" rtl="0" eaLnBrk="1" latinLnBrk="0" hangingPunct="1"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7pPr>
          <a:lvl8pPr marL="3200400" algn="l" defTabSz="914400" rtl="0" eaLnBrk="1" latinLnBrk="0" hangingPunct="1"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8pPr>
          <a:lvl9pPr marL="3657600" algn="l" defTabSz="914400" rtl="0" eaLnBrk="1" latinLnBrk="0" hangingPunct="1"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9pPr>
        </a:lstStyle>
        <a:p>
          <a:pPr algn="ctr" eaLnBrk="1" fontAlgn="auto" hangingPunct="1">
            <a:spcBef>
              <a:spcPts val="600"/>
            </a:spcBef>
            <a:spcAft>
              <a:spcPts val="0"/>
            </a:spcAft>
          </a:pPr>
          <a:r>
            <a:rPr lang="en-US" altLang="zh-TW" sz="1000">
              <a:latin typeface="Meiryo UI" panose="020B0604030504040204" pitchFamily="50" charset="-128"/>
              <a:ea typeface="Meiryo UI" panose="020B0604030504040204" pitchFamily="50" charset="-128"/>
            </a:rPr>
            <a:t>CN</a:t>
          </a:r>
          <a:r>
            <a:rPr lang="zh-TW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対策実施申込情報</a:t>
          </a:r>
          <a:endParaRPr lang="ja-JP" altLang="en-US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19</xdr:col>
      <xdr:colOff>103641</xdr:colOff>
      <xdr:row>19</xdr:row>
      <xdr:rowOff>10895</xdr:rowOff>
    </xdr:from>
    <xdr:to>
      <xdr:col>23</xdr:col>
      <xdr:colOff>63608</xdr:colOff>
      <xdr:row>22</xdr:row>
      <xdr:rowOff>126742</xdr:rowOff>
    </xdr:to>
    <xdr:sp macro="" textlink="">
      <xdr:nvSpPr>
        <xdr:cNvPr id="99" name="フローチャート: 磁気ディスク 98">
          <a:extLst>
            <a:ext uri="{FF2B5EF4-FFF2-40B4-BE49-F238E27FC236}">
              <a16:creationId xmlns:a16="http://schemas.microsoft.com/office/drawing/2014/main" id="{54DC4A16-5B0C-4311-8B33-5C3362B2F99E}"/>
            </a:ext>
          </a:extLst>
        </xdr:cNvPr>
        <xdr:cNvSpPr/>
      </xdr:nvSpPr>
      <xdr:spPr>
        <a:xfrm>
          <a:off x="5563332" y="3595044"/>
          <a:ext cx="1059761" cy="646105"/>
        </a:xfrm>
        <a:prstGeom prst="flowChartMagneticDisk">
          <a:avLst/>
        </a:prstGeom>
        <a:solidFill>
          <a:sysClr val="window" lastClr="FFFFFF"/>
        </a:solidFill>
        <a:ln w="6350" cap="flat" cmpd="sng" algn="ctr">
          <a:solidFill>
            <a:sysClr val="windowText" lastClr="000000"/>
          </a:solidFill>
          <a:prstDash val="solid"/>
        </a:ln>
        <a:effectLst/>
      </xdr:spPr>
      <xdr:txBody>
        <a:bodyPr rot="0" spcFirstLastPara="0" vert="horz" wrap="squar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5pPr>
          <a:lvl6pPr marL="2286000" algn="l" defTabSz="914400" rtl="0" eaLnBrk="1" latinLnBrk="0" hangingPunct="1"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6pPr>
          <a:lvl7pPr marL="2743200" algn="l" defTabSz="914400" rtl="0" eaLnBrk="1" latinLnBrk="0" hangingPunct="1"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7pPr>
          <a:lvl8pPr marL="3200400" algn="l" defTabSz="914400" rtl="0" eaLnBrk="1" latinLnBrk="0" hangingPunct="1"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8pPr>
          <a:lvl9pPr marL="3657600" algn="l" defTabSz="914400" rtl="0" eaLnBrk="1" latinLnBrk="0" hangingPunct="1"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9pPr>
        </a:lstStyle>
        <a:p>
          <a:pPr algn="ctr" eaLnBrk="1" fontAlgn="auto" hangingPunct="1">
            <a:spcBef>
              <a:spcPts val="600"/>
            </a:spcBef>
            <a:spcAft>
              <a:spcPts val="0"/>
            </a:spcAft>
          </a:pPr>
          <a:r>
            <a:rPr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月別建物エネルギー集計情報</a:t>
          </a:r>
        </a:p>
      </xdr:txBody>
    </xdr:sp>
    <xdr:clientData/>
  </xdr:twoCellAnchor>
  <xdr:twoCellAnchor>
    <xdr:from>
      <xdr:col>15</xdr:col>
      <xdr:colOff>113460</xdr:colOff>
      <xdr:row>19</xdr:row>
      <xdr:rowOff>14295</xdr:rowOff>
    </xdr:from>
    <xdr:to>
      <xdr:col>19</xdr:col>
      <xdr:colOff>105179</xdr:colOff>
      <xdr:row>22</xdr:row>
      <xdr:rowOff>130142</xdr:rowOff>
    </xdr:to>
    <xdr:sp macro="" textlink="">
      <xdr:nvSpPr>
        <xdr:cNvPr id="100" name="フローチャート: 磁気ディスク 99">
          <a:extLst>
            <a:ext uri="{FF2B5EF4-FFF2-40B4-BE49-F238E27FC236}">
              <a16:creationId xmlns:a16="http://schemas.microsoft.com/office/drawing/2014/main" id="{C428E9F5-5763-4255-8F5E-C022E5A01C3B}"/>
            </a:ext>
          </a:extLst>
        </xdr:cNvPr>
        <xdr:cNvSpPr/>
      </xdr:nvSpPr>
      <xdr:spPr>
        <a:xfrm>
          <a:off x="4473357" y="3598444"/>
          <a:ext cx="1091513" cy="646105"/>
        </a:xfrm>
        <a:prstGeom prst="flowChartMagneticDisk">
          <a:avLst/>
        </a:prstGeom>
        <a:solidFill>
          <a:sysClr val="window" lastClr="FFFFFF"/>
        </a:solidFill>
        <a:ln w="6350" cap="flat" cmpd="sng" algn="ctr">
          <a:solidFill>
            <a:sysClr val="windowText" lastClr="000000"/>
          </a:solidFill>
          <a:prstDash val="solid"/>
        </a:ln>
        <a:effectLst/>
      </xdr:spPr>
      <xdr:txBody>
        <a:bodyPr rot="0" spcFirstLastPara="0" vert="horz" wrap="squar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5pPr>
          <a:lvl6pPr marL="2286000" algn="l" defTabSz="914400" rtl="0" eaLnBrk="1" latinLnBrk="0" hangingPunct="1"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6pPr>
          <a:lvl7pPr marL="2743200" algn="l" defTabSz="914400" rtl="0" eaLnBrk="1" latinLnBrk="0" hangingPunct="1"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7pPr>
          <a:lvl8pPr marL="3200400" algn="l" defTabSz="914400" rtl="0" eaLnBrk="1" latinLnBrk="0" hangingPunct="1"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8pPr>
          <a:lvl9pPr marL="3657600" algn="l" defTabSz="914400" rtl="0" eaLnBrk="1" latinLnBrk="0" hangingPunct="1"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9pPr>
        </a:lstStyle>
        <a:p>
          <a:pPr algn="ctr" eaLnBrk="1" fontAlgn="auto" hangingPunct="1">
            <a:spcBef>
              <a:spcPts val="600"/>
            </a:spcBef>
            <a:spcAft>
              <a:spcPts val="0"/>
            </a:spcAft>
          </a:pPr>
          <a:r>
            <a:rPr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月別法人エネルギー集計情報</a:t>
          </a:r>
        </a:p>
      </xdr:txBody>
    </xdr:sp>
    <xdr:clientData/>
  </xdr:twoCellAnchor>
  <xdr:twoCellAnchor>
    <xdr:from>
      <xdr:col>29</xdr:col>
      <xdr:colOff>213039</xdr:colOff>
      <xdr:row>13</xdr:row>
      <xdr:rowOff>57354</xdr:rowOff>
    </xdr:from>
    <xdr:to>
      <xdr:col>33</xdr:col>
      <xdr:colOff>154930</xdr:colOff>
      <xdr:row>16</xdr:row>
      <xdr:rowOff>173201</xdr:rowOff>
    </xdr:to>
    <xdr:sp macro="" textlink="">
      <xdr:nvSpPr>
        <xdr:cNvPr id="101" name="フローチャート: 磁気ディスク 100">
          <a:extLst>
            <a:ext uri="{FF2B5EF4-FFF2-40B4-BE49-F238E27FC236}">
              <a16:creationId xmlns:a16="http://schemas.microsoft.com/office/drawing/2014/main" id="{590B10A0-3F4A-4702-9EE6-3ECC8C95DCDD}"/>
            </a:ext>
          </a:extLst>
        </xdr:cNvPr>
        <xdr:cNvSpPr/>
      </xdr:nvSpPr>
      <xdr:spPr>
        <a:xfrm>
          <a:off x="8422214" y="2580988"/>
          <a:ext cx="1041685" cy="646105"/>
        </a:xfrm>
        <a:prstGeom prst="flowChartMagneticDisk">
          <a:avLst/>
        </a:prstGeom>
        <a:solidFill>
          <a:sysClr val="window" lastClr="FFFFFF"/>
        </a:solidFill>
        <a:ln w="6350" cap="flat" cmpd="sng" algn="ctr">
          <a:solidFill>
            <a:sysClr val="windowText" lastClr="000000"/>
          </a:solidFill>
          <a:prstDash val="solid"/>
        </a:ln>
        <a:effectLst/>
      </xdr:spPr>
      <xdr:txBody>
        <a:bodyPr rot="0" spcFirstLastPara="0" vert="horz" wrap="squar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5pPr>
          <a:lvl6pPr marL="2286000" algn="l" defTabSz="914400" rtl="0" eaLnBrk="1" latinLnBrk="0" hangingPunct="1"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6pPr>
          <a:lvl7pPr marL="2743200" algn="l" defTabSz="914400" rtl="0" eaLnBrk="1" latinLnBrk="0" hangingPunct="1"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7pPr>
          <a:lvl8pPr marL="3200400" algn="l" defTabSz="914400" rtl="0" eaLnBrk="1" latinLnBrk="0" hangingPunct="1"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8pPr>
          <a:lvl9pPr marL="3657600" algn="l" defTabSz="914400" rtl="0" eaLnBrk="1" latinLnBrk="0" hangingPunct="1"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9pPr>
        </a:lstStyle>
        <a:p>
          <a:pPr algn="ctr" eaLnBrk="1" fontAlgn="auto" hangingPunct="1">
            <a:spcBef>
              <a:spcPts val="600"/>
            </a:spcBef>
            <a:spcAft>
              <a:spcPts val="0"/>
            </a:spcAft>
          </a:pPr>
          <a:r>
            <a:rPr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建物情報</a:t>
          </a:r>
        </a:p>
      </xdr:txBody>
    </xdr:sp>
    <xdr:clientData/>
  </xdr:twoCellAnchor>
  <xdr:twoCellAnchor>
    <xdr:from>
      <xdr:col>27</xdr:col>
      <xdr:colOff>20466</xdr:colOff>
      <xdr:row>19</xdr:row>
      <xdr:rowOff>20714</xdr:rowOff>
    </xdr:from>
    <xdr:to>
      <xdr:col>30</xdr:col>
      <xdr:colOff>247891</xdr:colOff>
      <xdr:row>22</xdr:row>
      <xdr:rowOff>136561</xdr:rowOff>
    </xdr:to>
    <xdr:sp macro="" textlink="">
      <xdr:nvSpPr>
        <xdr:cNvPr id="102" name="フローチャート: 磁気ディスク 101">
          <a:extLst>
            <a:ext uri="{FF2B5EF4-FFF2-40B4-BE49-F238E27FC236}">
              <a16:creationId xmlns:a16="http://schemas.microsoft.com/office/drawing/2014/main" id="{50B19593-7AB3-4875-BF12-5E669BBB7674}"/>
            </a:ext>
          </a:extLst>
        </xdr:cNvPr>
        <xdr:cNvSpPr/>
      </xdr:nvSpPr>
      <xdr:spPr>
        <a:xfrm>
          <a:off x="7679744" y="3604863"/>
          <a:ext cx="1052271" cy="646105"/>
        </a:xfrm>
        <a:prstGeom prst="flowChartMagneticDisk">
          <a:avLst/>
        </a:prstGeom>
        <a:solidFill>
          <a:sysClr val="window" lastClr="FFFFFF"/>
        </a:solidFill>
        <a:ln w="6350" cap="flat" cmpd="sng" algn="ctr">
          <a:solidFill>
            <a:sysClr val="windowText" lastClr="000000"/>
          </a:solidFill>
          <a:prstDash val="solid"/>
        </a:ln>
        <a:effectLst/>
      </xdr:spPr>
      <xdr:txBody>
        <a:bodyPr rot="0" spcFirstLastPara="0" vert="horz" wrap="squar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5pPr>
          <a:lvl6pPr marL="2286000" algn="l" defTabSz="914400" rtl="0" eaLnBrk="1" latinLnBrk="0" hangingPunct="1"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6pPr>
          <a:lvl7pPr marL="2743200" algn="l" defTabSz="914400" rtl="0" eaLnBrk="1" latinLnBrk="0" hangingPunct="1"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7pPr>
          <a:lvl8pPr marL="3200400" algn="l" defTabSz="914400" rtl="0" eaLnBrk="1" latinLnBrk="0" hangingPunct="1"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8pPr>
          <a:lvl9pPr marL="3657600" algn="l" defTabSz="914400" rtl="0" eaLnBrk="1" latinLnBrk="0" hangingPunct="1"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9pPr>
        </a:lstStyle>
        <a:p>
          <a:pPr algn="ctr" eaLnBrk="1" fontAlgn="auto" hangingPunct="1">
            <a:spcBef>
              <a:spcPts val="600"/>
            </a:spcBef>
            <a:spcAft>
              <a:spcPts val="0"/>
            </a:spcAft>
          </a:pPr>
          <a:r>
            <a:rPr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年度別建物エネルギー集計情報</a:t>
          </a:r>
        </a:p>
      </xdr:txBody>
    </xdr:sp>
    <xdr:clientData/>
  </xdr:twoCellAnchor>
  <xdr:twoCellAnchor>
    <xdr:from>
      <xdr:col>23</xdr:col>
      <xdr:colOff>49925</xdr:colOff>
      <xdr:row>19</xdr:row>
      <xdr:rowOff>15059</xdr:rowOff>
    </xdr:from>
    <xdr:to>
      <xdr:col>27</xdr:col>
      <xdr:colOff>34151</xdr:colOff>
      <xdr:row>22</xdr:row>
      <xdr:rowOff>130906</xdr:rowOff>
    </xdr:to>
    <xdr:sp macro="" textlink="">
      <xdr:nvSpPr>
        <xdr:cNvPr id="103" name="フローチャート: 磁気ディスク 102">
          <a:extLst>
            <a:ext uri="{FF2B5EF4-FFF2-40B4-BE49-F238E27FC236}">
              <a16:creationId xmlns:a16="http://schemas.microsoft.com/office/drawing/2014/main" id="{B6C29984-982D-4955-833C-1C9A37BD3932}"/>
            </a:ext>
          </a:extLst>
        </xdr:cNvPr>
        <xdr:cNvSpPr/>
      </xdr:nvSpPr>
      <xdr:spPr>
        <a:xfrm>
          <a:off x="6609410" y="3599208"/>
          <a:ext cx="1084019" cy="646105"/>
        </a:xfrm>
        <a:prstGeom prst="flowChartMagneticDisk">
          <a:avLst/>
        </a:prstGeom>
        <a:solidFill>
          <a:sysClr val="window" lastClr="FFFFFF"/>
        </a:solidFill>
        <a:ln w="6350" cap="flat" cmpd="sng" algn="ctr">
          <a:solidFill>
            <a:sysClr val="windowText" lastClr="000000"/>
          </a:solidFill>
          <a:prstDash val="solid"/>
        </a:ln>
        <a:effectLst/>
      </xdr:spPr>
      <xdr:txBody>
        <a:bodyPr rot="0" spcFirstLastPara="0" vert="horz" wrap="squar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5pPr>
          <a:lvl6pPr marL="2286000" algn="l" defTabSz="914400" rtl="0" eaLnBrk="1" latinLnBrk="0" hangingPunct="1"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6pPr>
          <a:lvl7pPr marL="2743200" algn="l" defTabSz="914400" rtl="0" eaLnBrk="1" latinLnBrk="0" hangingPunct="1"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7pPr>
          <a:lvl8pPr marL="3200400" algn="l" defTabSz="914400" rtl="0" eaLnBrk="1" latinLnBrk="0" hangingPunct="1"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8pPr>
          <a:lvl9pPr marL="3657600" algn="l" defTabSz="914400" rtl="0" eaLnBrk="1" latinLnBrk="0" hangingPunct="1">
            <a:defRPr kumimoji="1" sz="900" kern="1200">
              <a:solidFill>
                <a:schemeClr val="tx1"/>
              </a:solidFill>
              <a:latin typeface="Times New Roman" panose="02020603050405020304" pitchFamily="18" charset="0"/>
              <a:ea typeface="ＭＳ 明朝" panose="02020609040205080304" pitchFamily="17" charset="-128"/>
              <a:cs typeface="+mn-cs"/>
            </a:defRPr>
          </a:lvl9pPr>
        </a:lstStyle>
        <a:p>
          <a:pPr algn="ctr" eaLnBrk="1" fontAlgn="auto" hangingPunct="1">
            <a:spcBef>
              <a:spcPts val="600"/>
            </a:spcBef>
            <a:spcAft>
              <a:spcPts val="0"/>
            </a:spcAft>
          </a:pPr>
          <a:r>
            <a:rPr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年度別法人エネルギー集計情報</a:t>
          </a:r>
        </a:p>
      </xdr:txBody>
    </xdr:sp>
    <xdr:clientData/>
  </xdr:twoCellAnchor>
  <xdr:twoCellAnchor>
    <xdr:from>
      <xdr:col>8</xdr:col>
      <xdr:colOff>212670</xdr:colOff>
      <xdr:row>13</xdr:row>
      <xdr:rowOff>168412</xdr:rowOff>
    </xdr:from>
    <xdr:to>
      <xdr:col>14</xdr:col>
      <xdr:colOff>157114</xdr:colOff>
      <xdr:row>18</xdr:row>
      <xdr:rowOff>44189</xdr:rowOff>
    </xdr:to>
    <xdr:cxnSp macro="">
      <xdr:nvCxnSpPr>
        <xdr:cNvPr id="16" name="コネクタ: カギ線 15">
          <a:extLst>
            <a:ext uri="{FF2B5EF4-FFF2-40B4-BE49-F238E27FC236}">
              <a16:creationId xmlns:a16="http://schemas.microsoft.com/office/drawing/2014/main" id="{22D8C24F-FF51-4DCD-02D3-9F306FF74EEF}"/>
            </a:ext>
          </a:extLst>
        </xdr:cNvPr>
        <xdr:cNvCxnSpPr>
          <a:stCxn id="87" idx="2"/>
          <a:endCxn id="17" idx="1"/>
        </xdr:cNvCxnSpPr>
      </xdr:nvCxnSpPr>
      <xdr:spPr>
        <a:xfrm rot="16200000" flipH="1">
          <a:off x="3065225" y="2274749"/>
          <a:ext cx="759540" cy="1594134"/>
        </a:xfrm>
        <a:prstGeom prst="bentConnector2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236651</xdr:colOff>
      <xdr:row>19</xdr:row>
      <xdr:rowOff>35513</xdr:rowOff>
    </xdr:from>
    <xdr:to>
      <xdr:col>34</xdr:col>
      <xdr:colOff>177733</xdr:colOff>
      <xdr:row>22</xdr:row>
      <xdr:rowOff>157114</xdr:rowOff>
    </xdr:to>
    <xdr:sp macro="" textlink="">
      <xdr:nvSpPr>
        <xdr:cNvPr id="11" name="AutoShape 140">
          <a:extLst>
            <a:ext uri="{FF2B5EF4-FFF2-40B4-BE49-F238E27FC236}">
              <a16:creationId xmlns:a16="http://schemas.microsoft.com/office/drawing/2014/main" id="{92595928-AD59-460F-9B93-A1B90F0D4847}"/>
            </a:ext>
          </a:extLst>
        </xdr:cNvPr>
        <xdr:cNvSpPr>
          <a:spLocks noChangeArrowheads="1"/>
        </xdr:cNvSpPr>
      </xdr:nvSpPr>
      <xdr:spPr bwMode="auto">
        <a:xfrm>
          <a:off x="8720775" y="3619662"/>
          <a:ext cx="1040876" cy="651859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レポート格納情報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49389</xdr:colOff>
      <xdr:row>0</xdr:row>
      <xdr:rowOff>21167</xdr:rowOff>
    </xdr:from>
    <xdr:to>
      <xdr:col>16</xdr:col>
      <xdr:colOff>49700</xdr:colOff>
      <xdr:row>1</xdr:row>
      <xdr:rowOff>85311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FC22413-8EAB-46E0-9F87-23344F9C0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89" y="21167"/>
          <a:ext cx="2289486" cy="24194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265504</xdr:colOff>
      <xdr:row>9</xdr:row>
      <xdr:rowOff>44823</xdr:rowOff>
    </xdr:from>
    <xdr:to>
      <xdr:col>13</xdr:col>
      <xdr:colOff>43254</xdr:colOff>
      <xdr:row>161</xdr:row>
      <xdr:rowOff>87449</xdr:rowOff>
    </xdr:to>
    <xdr:cxnSp macro="">
      <xdr:nvCxnSpPr>
        <xdr:cNvPr id="6" name="タイトルボックス1">
          <a:extLst>
            <a:ext uri="{FF2B5EF4-FFF2-40B4-BE49-F238E27FC236}">
              <a16:creationId xmlns:a16="http://schemas.microsoft.com/office/drawing/2014/main" id="{CF761EE7-3EF3-4674-8E44-6D079038B4D5}"/>
            </a:ext>
          </a:extLst>
        </xdr:cNvPr>
        <xdr:cNvCxnSpPr>
          <a:cxnSpLocks/>
          <a:stCxn id="7" idx="2"/>
          <a:endCxn id="8" idx="0"/>
        </xdr:cNvCxnSpPr>
      </xdr:nvCxnSpPr>
      <xdr:spPr>
        <a:xfrm flipH="1">
          <a:off x="3776147" y="1840966"/>
          <a:ext cx="49893" cy="43109233"/>
        </a:xfrm>
        <a:prstGeom prst="straightConnector1">
          <a:avLst/>
        </a:prstGeom>
        <a:ln w="952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24870</xdr:colOff>
      <xdr:row>7</xdr:row>
      <xdr:rowOff>15239</xdr:rowOff>
    </xdr:from>
    <xdr:to>
      <xdr:col>19</xdr:col>
      <xdr:colOff>61638</xdr:colOff>
      <xdr:row>9</xdr:row>
      <xdr:rowOff>44823</xdr:rowOff>
    </xdr:to>
    <xdr:sp macro="" textlink="">
      <xdr:nvSpPr>
        <xdr:cNvPr id="7" name="フローチャート : 端子 96">
          <a:extLst>
            <a:ext uri="{FF2B5EF4-FFF2-40B4-BE49-F238E27FC236}">
              <a16:creationId xmlns:a16="http://schemas.microsoft.com/office/drawing/2014/main" id="{FFCDF088-D475-4229-AA1B-E8A75F162B64}"/>
            </a:ext>
          </a:extLst>
        </xdr:cNvPr>
        <xdr:cNvSpPr/>
      </xdr:nvSpPr>
      <xdr:spPr>
        <a:xfrm>
          <a:off x="2196570" y="1443989"/>
          <a:ext cx="3351468" cy="410584"/>
        </a:xfrm>
        <a:prstGeom prst="flowChartTerminator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0. 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開始</a:t>
          </a:r>
        </a:p>
      </xdr:txBody>
    </xdr:sp>
    <xdr:clientData/>
  </xdr:twoCellAnchor>
  <xdr:twoCellAnchor>
    <xdr:from>
      <xdr:col>6</xdr:col>
      <xdr:colOff>487513</xdr:colOff>
      <xdr:row>161</xdr:row>
      <xdr:rowOff>87449</xdr:rowOff>
    </xdr:from>
    <xdr:to>
      <xdr:col>19</xdr:col>
      <xdr:colOff>16281</xdr:colOff>
      <xdr:row>163</xdr:row>
      <xdr:rowOff>104854</xdr:rowOff>
    </xdr:to>
    <xdr:sp macro="" textlink="">
      <xdr:nvSpPr>
        <xdr:cNvPr id="8" name="フローチャート : 端子 96">
          <a:extLst>
            <a:ext uri="{FF2B5EF4-FFF2-40B4-BE49-F238E27FC236}">
              <a16:creationId xmlns:a16="http://schemas.microsoft.com/office/drawing/2014/main" id="{C6EA1AF9-0329-4265-B6CE-8D78C13F84D6}"/>
            </a:ext>
          </a:extLst>
        </xdr:cNvPr>
        <xdr:cNvSpPr/>
      </xdr:nvSpPr>
      <xdr:spPr>
        <a:xfrm>
          <a:off x="2120370" y="44950199"/>
          <a:ext cx="3311554" cy="371191"/>
        </a:xfrm>
        <a:prstGeom prst="flowChartTerminator">
          <a:avLst/>
        </a:prstGeom>
        <a:solidFill>
          <a:sysClr val="window" lastClr="FFFFFF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14. 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終了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12</xdr:col>
      <xdr:colOff>57450</xdr:colOff>
      <xdr:row>1</xdr:row>
      <xdr:rowOff>4738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id="{1FFD218F-0826-472E-A665-2D23BB8E7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610275" cy="208845"/>
        </a:xfrm>
        <a:prstGeom prst="rect">
          <a:avLst/>
        </a:prstGeom>
      </xdr:spPr>
    </xdr:pic>
    <xdr:clientData/>
  </xdr:twoCellAnchor>
  <xdr:twoCellAnchor>
    <xdr:from>
      <xdr:col>6</xdr:col>
      <xdr:colOff>314874</xdr:colOff>
      <xdr:row>44</xdr:row>
      <xdr:rowOff>25848</xdr:rowOff>
    </xdr:from>
    <xdr:to>
      <xdr:col>20</xdr:col>
      <xdr:colOff>29385</xdr:colOff>
      <xdr:row>47</xdr:row>
      <xdr:rowOff>158387</xdr:rowOff>
    </xdr:to>
    <xdr:sp macro="" textlink="">
      <xdr:nvSpPr>
        <xdr:cNvPr id="192" name="フローチャート: 処理 191">
          <a:extLst>
            <a:ext uri="{FF2B5EF4-FFF2-40B4-BE49-F238E27FC236}">
              <a16:creationId xmlns:a16="http://schemas.microsoft.com/office/drawing/2014/main" id="{E6D74227-1D84-4F32-B62D-ABD51B562279}"/>
            </a:ext>
          </a:extLst>
        </xdr:cNvPr>
        <xdr:cNvSpPr/>
      </xdr:nvSpPr>
      <xdr:spPr>
        <a:xfrm>
          <a:off x="1934124" y="38665598"/>
          <a:ext cx="3730886" cy="656414"/>
        </a:xfrm>
        <a:prstGeom prst="flowChartProcess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en-US" altLang="ja-JP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．担当者情報マスタ更新</a:t>
          </a:r>
        </a:p>
      </xdr:txBody>
    </xdr:sp>
    <xdr:clientData/>
  </xdr:twoCellAnchor>
  <xdr:twoCellAnchor>
    <xdr:from>
      <xdr:col>20</xdr:col>
      <xdr:colOff>29385</xdr:colOff>
      <xdr:row>46</xdr:row>
      <xdr:rowOff>4805</xdr:rowOff>
    </xdr:from>
    <xdr:to>
      <xdr:col>23</xdr:col>
      <xdr:colOff>194691</xdr:colOff>
      <xdr:row>46</xdr:row>
      <xdr:rowOff>11347</xdr:rowOff>
    </xdr:to>
    <xdr:cxnSp macro="">
      <xdr:nvCxnSpPr>
        <xdr:cNvPr id="193" name="直線矢印コネクタ 192">
          <a:extLst>
            <a:ext uri="{FF2B5EF4-FFF2-40B4-BE49-F238E27FC236}">
              <a16:creationId xmlns:a16="http://schemas.microsoft.com/office/drawing/2014/main" id="{DC5661D7-BDF8-4C7E-888E-C4D42B2901E7}"/>
            </a:ext>
          </a:extLst>
        </xdr:cNvPr>
        <xdr:cNvCxnSpPr>
          <a:cxnSpLocks/>
          <a:stCxn id="192" idx="3"/>
          <a:endCxn id="195" idx="2"/>
        </xdr:cNvCxnSpPr>
      </xdr:nvCxnSpPr>
      <xdr:spPr>
        <a:xfrm>
          <a:off x="5665010" y="38993805"/>
          <a:ext cx="974931" cy="6542"/>
        </a:xfrm>
        <a:prstGeom prst="straightConnector1">
          <a:avLst/>
        </a:prstGeom>
        <a:ln w="41275">
          <a:solidFill>
            <a:srgbClr val="002060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194691</xdr:colOff>
      <xdr:row>44</xdr:row>
      <xdr:rowOff>36263</xdr:rowOff>
    </xdr:from>
    <xdr:to>
      <xdr:col>27</xdr:col>
      <xdr:colOff>31750</xdr:colOff>
      <xdr:row>47</xdr:row>
      <xdr:rowOff>161055</xdr:rowOff>
    </xdr:to>
    <xdr:sp macro="" textlink="">
      <xdr:nvSpPr>
        <xdr:cNvPr id="195" name="AutoShape 140">
          <a:extLst>
            <a:ext uri="{FF2B5EF4-FFF2-40B4-BE49-F238E27FC236}">
              <a16:creationId xmlns:a16="http://schemas.microsoft.com/office/drawing/2014/main" id="{BEBBCA80-245B-49F9-B67C-D2811A855B68}"/>
            </a:ext>
          </a:extLst>
        </xdr:cNvPr>
        <xdr:cNvSpPr>
          <a:spLocks noChangeArrowheads="1"/>
        </xdr:cNvSpPr>
      </xdr:nvSpPr>
      <xdr:spPr bwMode="auto">
        <a:xfrm>
          <a:off x="6639941" y="38676013"/>
          <a:ext cx="916559" cy="648667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担当者情報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マスタ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285752</xdr:colOff>
      <xdr:row>120</xdr:row>
      <xdr:rowOff>40389</xdr:rowOff>
    </xdr:from>
    <xdr:to>
      <xdr:col>20</xdr:col>
      <xdr:colOff>263</xdr:colOff>
      <xdr:row>123</xdr:row>
      <xdr:rowOff>172395</xdr:rowOff>
    </xdr:to>
    <xdr:sp macro="" textlink="">
      <xdr:nvSpPr>
        <xdr:cNvPr id="200" name="フローチャート: 処理 199">
          <a:extLst>
            <a:ext uri="{FF2B5EF4-FFF2-40B4-BE49-F238E27FC236}">
              <a16:creationId xmlns:a16="http://schemas.microsoft.com/office/drawing/2014/main" id="{A6A02811-2005-4C05-9FBE-ED71B09D882D}"/>
            </a:ext>
          </a:extLst>
        </xdr:cNvPr>
        <xdr:cNvSpPr/>
      </xdr:nvSpPr>
      <xdr:spPr>
        <a:xfrm>
          <a:off x="1905002" y="49157639"/>
          <a:ext cx="3730886" cy="655881"/>
        </a:xfrm>
        <a:prstGeom prst="flowChartProcess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en-US" altLang="ja-JP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11</a:t>
          </a:r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．引継実施ステータス更新</a:t>
          </a:r>
        </a:p>
      </xdr:txBody>
    </xdr:sp>
    <xdr:clientData/>
  </xdr:twoCellAnchor>
  <xdr:twoCellAnchor>
    <xdr:from>
      <xdr:col>20</xdr:col>
      <xdr:colOff>263</xdr:colOff>
      <xdr:row>122</xdr:row>
      <xdr:rowOff>19080</xdr:rowOff>
    </xdr:from>
    <xdr:to>
      <xdr:col>24</xdr:col>
      <xdr:colOff>31750</xdr:colOff>
      <xdr:row>122</xdr:row>
      <xdr:rowOff>42956</xdr:rowOff>
    </xdr:to>
    <xdr:cxnSp macro="">
      <xdr:nvCxnSpPr>
        <xdr:cNvPr id="201" name="直線矢印コネクタ 200">
          <a:extLst>
            <a:ext uri="{FF2B5EF4-FFF2-40B4-BE49-F238E27FC236}">
              <a16:creationId xmlns:a16="http://schemas.microsoft.com/office/drawing/2014/main" id="{A28C689A-8C12-4CE1-8F2F-1215A3B0B5B8}"/>
            </a:ext>
          </a:extLst>
        </xdr:cNvPr>
        <xdr:cNvCxnSpPr>
          <a:cxnSpLocks/>
          <a:stCxn id="200" idx="3"/>
          <a:endCxn id="206" idx="2"/>
        </xdr:cNvCxnSpPr>
      </xdr:nvCxnSpPr>
      <xdr:spPr>
        <a:xfrm>
          <a:off x="5635888" y="49485580"/>
          <a:ext cx="1110987" cy="23876"/>
        </a:xfrm>
        <a:prstGeom prst="straightConnector1">
          <a:avLst/>
        </a:prstGeom>
        <a:ln w="41275">
          <a:solidFill>
            <a:srgbClr val="002060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181181</xdr:colOff>
      <xdr:row>106</xdr:row>
      <xdr:rowOff>47333</xdr:rowOff>
    </xdr:from>
    <xdr:to>
      <xdr:col>32</xdr:col>
      <xdr:colOff>18240</xdr:colOff>
      <xdr:row>109</xdr:row>
      <xdr:rowOff>172125</xdr:rowOff>
    </xdr:to>
    <xdr:sp macro="" textlink="">
      <xdr:nvSpPr>
        <xdr:cNvPr id="203" name="AutoShape 140">
          <a:extLst>
            <a:ext uri="{FF2B5EF4-FFF2-40B4-BE49-F238E27FC236}">
              <a16:creationId xmlns:a16="http://schemas.microsoft.com/office/drawing/2014/main" id="{6AA77AA8-4A05-4DE6-B3A2-E77DE31C7072}"/>
            </a:ext>
          </a:extLst>
        </xdr:cNvPr>
        <xdr:cNvSpPr>
          <a:spLocks noChangeArrowheads="1"/>
        </xdr:cNvSpPr>
      </xdr:nvSpPr>
      <xdr:spPr bwMode="auto">
        <a:xfrm>
          <a:off x="7975806" y="13429958"/>
          <a:ext cx="916559" cy="648667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建物マスタ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32</xdr:col>
      <xdr:colOff>63500</xdr:colOff>
      <xdr:row>106</xdr:row>
      <xdr:rowOff>15875</xdr:rowOff>
    </xdr:from>
    <xdr:to>
      <xdr:col>35</xdr:col>
      <xdr:colOff>170434</xdr:colOff>
      <xdr:row>109</xdr:row>
      <xdr:rowOff>140667</xdr:rowOff>
    </xdr:to>
    <xdr:sp macro="" textlink="">
      <xdr:nvSpPr>
        <xdr:cNvPr id="204" name="AutoShape 140">
          <a:extLst>
            <a:ext uri="{FF2B5EF4-FFF2-40B4-BE49-F238E27FC236}">
              <a16:creationId xmlns:a16="http://schemas.microsoft.com/office/drawing/2014/main" id="{A6086E08-8974-4526-B900-ED55373EF7B9}"/>
            </a:ext>
          </a:extLst>
        </xdr:cNvPr>
        <xdr:cNvSpPr>
          <a:spLocks noChangeArrowheads="1"/>
        </xdr:cNvSpPr>
      </xdr:nvSpPr>
      <xdr:spPr bwMode="auto">
        <a:xfrm>
          <a:off x="8937625" y="13398500"/>
          <a:ext cx="916559" cy="648667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ja-JP" sz="100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CN</a:t>
          </a:r>
          <a:r>
            <a:rPr lang="zh-TW" altLang="ja-JP" sz="100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対策実施</a:t>
          </a:r>
          <a:endParaRPr lang="en-US" altLang="zh-TW" sz="1000"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TW" altLang="ja-JP" sz="100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申込情報</a:t>
          </a:r>
          <a:endParaRPr lang="ja-JP" altLang="ja-JP" sz="10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 rtl="0">
            <a:lnSpc>
              <a:spcPct val="100000"/>
            </a:lnSpc>
            <a:defRPr sz="1000"/>
          </a:pP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36</xdr:col>
      <xdr:colOff>15875</xdr:colOff>
      <xdr:row>106</xdr:row>
      <xdr:rowOff>47625</xdr:rowOff>
    </xdr:from>
    <xdr:to>
      <xdr:col>39</xdr:col>
      <xdr:colOff>122809</xdr:colOff>
      <xdr:row>109</xdr:row>
      <xdr:rowOff>172417</xdr:rowOff>
    </xdr:to>
    <xdr:sp macro="" textlink="">
      <xdr:nvSpPr>
        <xdr:cNvPr id="205" name="AutoShape 140">
          <a:extLst>
            <a:ext uri="{FF2B5EF4-FFF2-40B4-BE49-F238E27FC236}">
              <a16:creationId xmlns:a16="http://schemas.microsoft.com/office/drawing/2014/main" id="{363322A1-872C-4B8E-9A8E-8FA45E91503A}"/>
            </a:ext>
          </a:extLst>
        </xdr:cNvPr>
        <xdr:cNvSpPr>
          <a:spLocks noChangeArrowheads="1"/>
        </xdr:cNvSpPr>
      </xdr:nvSpPr>
      <xdr:spPr bwMode="auto">
        <a:xfrm>
          <a:off x="9969500" y="13430250"/>
          <a:ext cx="916559" cy="648667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建物情報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31750</xdr:colOff>
      <xdr:row>120</xdr:row>
      <xdr:rowOff>47625</xdr:rowOff>
    </xdr:from>
    <xdr:to>
      <xdr:col>27</xdr:col>
      <xdr:colOff>122330</xdr:colOff>
      <xdr:row>124</xdr:row>
      <xdr:rowOff>38287</xdr:rowOff>
    </xdr:to>
    <xdr:sp macro="" textlink="">
      <xdr:nvSpPr>
        <xdr:cNvPr id="206" name="AutoShape 140">
          <a:extLst>
            <a:ext uri="{FF2B5EF4-FFF2-40B4-BE49-F238E27FC236}">
              <a16:creationId xmlns:a16="http://schemas.microsoft.com/office/drawing/2014/main" id="{CAC24D40-B2E2-4385-AA1F-A77705162C12}"/>
            </a:ext>
          </a:extLst>
        </xdr:cNvPr>
        <xdr:cNvSpPr>
          <a:spLocks noChangeArrowheads="1"/>
        </xdr:cNvSpPr>
      </xdr:nvSpPr>
      <xdr:spPr bwMode="auto">
        <a:xfrm>
          <a:off x="6746875" y="49164875"/>
          <a:ext cx="900205" cy="689162"/>
        </a:xfrm>
        <a:prstGeom prst="flowChartMagneticDisk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営業担当引継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情報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158750</xdr:colOff>
      <xdr:row>27</xdr:row>
      <xdr:rowOff>127000</xdr:rowOff>
    </xdr:from>
    <xdr:to>
      <xdr:col>21</xdr:col>
      <xdr:colOff>221193</xdr:colOff>
      <xdr:row>29</xdr:row>
      <xdr:rowOff>149225</xdr:rowOff>
    </xdr:to>
    <xdr:sp macro="" textlink="">
      <xdr:nvSpPr>
        <xdr:cNvPr id="207" name="四角形: 上の 2 つの角を切り取る 206">
          <a:extLst>
            <a:ext uri="{FF2B5EF4-FFF2-40B4-BE49-F238E27FC236}">
              <a16:creationId xmlns:a16="http://schemas.microsoft.com/office/drawing/2014/main" id="{EF185BCB-ED44-41F3-A260-99DB2AD6395C}"/>
            </a:ext>
          </a:extLst>
        </xdr:cNvPr>
        <xdr:cNvSpPr/>
      </xdr:nvSpPr>
      <xdr:spPr>
        <a:xfrm>
          <a:off x="1508125" y="3397250"/>
          <a:ext cx="4618568" cy="434975"/>
        </a:xfrm>
        <a:prstGeom prst="snip2SameRect">
          <a:avLst>
            <a:gd name="adj1" fmla="val 50000"/>
            <a:gd name="adj2" fmla="val 0"/>
          </a:avLst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LOOP</a:t>
          </a:r>
          <a:endParaRPr lang="ja-JP" altLang="ja-JP" sz="1400" b="1">
            <a:effectLst/>
          </a:endParaRPr>
        </a:p>
      </xdr:txBody>
    </xdr:sp>
    <xdr:clientData/>
  </xdr:twoCellAnchor>
  <xdr:twoCellAnchor>
    <xdr:from>
      <xdr:col>23</xdr:col>
      <xdr:colOff>158748</xdr:colOff>
      <xdr:row>101</xdr:row>
      <xdr:rowOff>138513</xdr:rowOff>
    </xdr:from>
    <xdr:to>
      <xdr:col>28</xdr:col>
      <xdr:colOff>31748</xdr:colOff>
      <xdr:row>105</xdr:row>
      <xdr:rowOff>88680</xdr:rowOff>
    </xdr:to>
    <xdr:sp macro="" textlink="">
      <xdr:nvSpPr>
        <xdr:cNvPr id="212" name="AutoShape 140">
          <a:extLst>
            <a:ext uri="{FF2B5EF4-FFF2-40B4-BE49-F238E27FC236}">
              <a16:creationId xmlns:a16="http://schemas.microsoft.com/office/drawing/2014/main" id="{E39D10AA-3A35-48C2-9004-155A6BE01C1D}"/>
            </a:ext>
          </a:extLst>
        </xdr:cNvPr>
        <xdr:cNvSpPr>
          <a:spLocks noChangeArrowheads="1"/>
        </xdr:cNvSpPr>
      </xdr:nvSpPr>
      <xdr:spPr bwMode="auto">
        <a:xfrm>
          <a:off x="6603998" y="46287138"/>
          <a:ext cx="1222375" cy="648667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ja-JP" sz="100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月別建物エネルギー</a:t>
          </a:r>
          <a:endParaRPr lang="en-US" altLang="ja-JP" sz="1000"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ja-JP" sz="100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集計情報</a:t>
          </a:r>
          <a:endParaRPr lang="ja-JP" altLang="ja-JP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 rtl="0">
            <a:lnSpc>
              <a:spcPct val="100000"/>
            </a:lnSpc>
            <a:defRPr sz="1000"/>
          </a:pP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28</xdr:col>
      <xdr:colOff>47623</xdr:colOff>
      <xdr:row>101</xdr:row>
      <xdr:rowOff>138513</xdr:rowOff>
    </xdr:from>
    <xdr:to>
      <xdr:col>32</xdr:col>
      <xdr:colOff>190498</xdr:colOff>
      <xdr:row>105</xdr:row>
      <xdr:rowOff>88680</xdr:rowOff>
    </xdr:to>
    <xdr:sp macro="" textlink="">
      <xdr:nvSpPr>
        <xdr:cNvPr id="213" name="AutoShape 140">
          <a:extLst>
            <a:ext uri="{FF2B5EF4-FFF2-40B4-BE49-F238E27FC236}">
              <a16:creationId xmlns:a16="http://schemas.microsoft.com/office/drawing/2014/main" id="{EC559CB2-6F45-4ABF-A084-BDA483702B61}"/>
            </a:ext>
          </a:extLst>
        </xdr:cNvPr>
        <xdr:cNvSpPr>
          <a:spLocks noChangeArrowheads="1"/>
        </xdr:cNvSpPr>
      </xdr:nvSpPr>
      <xdr:spPr bwMode="auto">
        <a:xfrm>
          <a:off x="7842248" y="46287138"/>
          <a:ext cx="1222375" cy="648667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100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年度</a:t>
          </a:r>
          <a:r>
            <a:rPr lang="ja-JP" altLang="ja-JP" sz="100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別建物エネルギー</a:t>
          </a:r>
          <a:endParaRPr lang="en-US" altLang="ja-JP" sz="1000"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ja-JP" sz="100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集計情報</a:t>
          </a:r>
          <a:endParaRPr lang="ja-JP" altLang="ja-JP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 rtl="0">
            <a:lnSpc>
              <a:spcPct val="100000"/>
            </a:lnSpc>
            <a:defRPr sz="1000"/>
          </a:pP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32</xdr:col>
      <xdr:colOff>206373</xdr:colOff>
      <xdr:row>101</xdr:row>
      <xdr:rowOff>122639</xdr:rowOff>
    </xdr:from>
    <xdr:to>
      <xdr:col>37</xdr:col>
      <xdr:colOff>79373</xdr:colOff>
      <xdr:row>105</xdr:row>
      <xdr:rowOff>120431</xdr:rowOff>
    </xdr:to>
    <xdr:sp macro="" textlink="">
      <xdr:nvSpPr>
        <xdr:cNvPr id="214" name="AutoShape 140">
          <a:extLst>
            <a:ext uri="{FF2B5EF4-FFF2-40B4-BE49-F238E27FC236}">
              <a16:creationId xmlns:a16="http://schemas.microsoft.com/office/drawing/2014/main" id="{CB3B5F6B-AB2D-4EBC-9540-B5828B1B9609}"/>
            </a:ext>
          </a:extLst>
        </xdr:cNvPr>
        <xdr:cNvSpPr>
          <a:spLocks noChangeArrowheads="1"/>
        </xdr:cNvSpPr>
      </xdr:nvSpPr>
      <xdr:spPr bwMode="auto">
        <a:xfrm>
          <a:off x="9080498" y="46271264"/>
          <a:ext cx="1222375" cy="696292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ja-JP" sz="100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月別</a:t>
          </a:r>
          <a:r>
            <a:rPr lang="ja-JP" altLang="en-US" sz="100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法人</a:t>
          </a:r>
          <a:r>
            <a:rPr lang="ja-JP" altLang="ja-JP" sz="100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エネルギー</a:t>
          </a:r>
          <a:endParaRPr lang="en-US" altLang="ja-JP" sz="1000"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ja-JP" sz="100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集計情報</a:t>
          </a:r>
          <a:endParaRPr lang="ja-JP" altLang="ja-JP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 rtl="0">
            <a:lnSpc>
              <a:spcPct val="100000"/>
            </a:lnSpc>
            <a:defRPr sz="1000"/>
          </a:pP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37</xdr:col>
      <xdr:colOff>79373</xdr:colOff>
      <xdr:row>101</xdr:row>
      <xdr:rowOff>154388</xdr:rowOff>
    </xdr:from>
    <xdr:to>
      <xdr:col>41</xdr:col>
      <xdr:colOff>222248</xdr:colOff>
      <xdr:row>105</xdr:row>
      <xdr:rowOff>104555</xdr:rowOff>
    </xdr:to>
    <xdr:sp macro="" textlink="">
      <xdr:nvSpPr>
        <xdr:cNvPr id="215" name="AutoShape 140">
          <a:extLst>
            <a:ext uri="{FF2B5EF4-FFF2-40B4-BE49-F238E27FC236}">
              <a16:creationId xmlns:a16="http://schemas.microsoft.com/office/drawing/2014/main" id="{C09EF8CF-7B94-4FCB-83C9-214EF4E5A8D7}"/>
            </a:ext>
          </a:extLst>
        </xdr:cNvPr>
        <xdr:cNvSpPr>
          <a:spLocks noChangeArrowheads="1"/>
        </xdr:cNvSpPr>
      </xdr:nvSpPr>
      <xdr:spPr bwMode="auto">
        <a:xfrm>
          <a:off x="10302873" y="46303013"/>
          <a:ext cx="1222375" cy="648667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100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年度</a:t>
          </a:r>
          <a:r>
            <a:rPr lang="ja-JP" altLang="ja-JP" sz="100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別</a:t>
          </a:r>
          <a:r>
            <a:rPr lang="ja-JP" altLang="en-US" sz="100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法人</a:t>
          </a:r>
          <a:r>
            <a:rPr lang="ja-JP" altLang="ja-JP" sz="100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エネルギー</a:t>
          </a:r>
          <a:endParaRPr lang="en-US" altLang="ja-JP" sz="1000"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ja-JP" sz="100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集計情報</a:t>
          </a:r>
          <a:endParaRPr lang="ja-JP" altLang="ja-JP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 rtl="0">
            <a:lnSpc>
              <a:spcPct val="100000"/>
            </a:lnSpc>
            <a:defRPr sz="1000"/>
          </a:pP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232453</xdr:colOff>
      <xdr:row>72</xdr:row>
      <xdr:rowOff>15875</xdr:rowOff>
    </xdr:from>
    <xdr:to>
      <xdr:col>18</xdr:col>
      <xdr:colOff>93603</xdr:colOff>
      <xdr:row>77</xdr:row>
      <xdr:rowOff>133654</xdr:rowOff>
    </xdr:to>
    <xdr:sp macro="" textlink="">
      <xdr:nvSpPr>
        <xdr:cNvPr id="216" name="フローチャート: 判断 215">
          <a:extLst>
            <a:ext uri="{FF2B5EF4-FFF2-40B4-BE49-F238E27FC236}">
              <a16:creationId xmlns:a16="http://schemas.microsoft.com/office/drawing/2014/main" id="{BE1888EB-3FC0-443C-88DE-BDE44EF0A6CB}"/>
            </a:ext>
          </a:extLst>
        </xdr:cNvPr>
        <xdr:cNvSpPr/>
      </xdr:nvSpPr>
      <xdr:spPr>
        <a:xfrm>
          <a:off x="2359703" y="10953750"/>
          <a:ext cx="2829775" cy="990904"/>
        </a:xfrm>
        <a:prstGeom prst="flowChartDecision">
          <a:avLst/>
        </a:prstGeom>
        <a:solidFill>
          <a:schemeClr val="bg1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7.</a:t>
          </a:r>
          <a:r>
            <a:rPr kumimoji="1" lang="en-US" altLang="ja-JP" sz="100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ja-JP" altLang="en-US" sz="100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過去データ引継ぎフラグ</a:t>
          </a:r>
          <a:r>
            <a:rPr kumimoji="1" lang="en-US" altLang="ja-JP" sz="100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="TRUE"</a:t>
          </a:r>
          <a:endParaRPr kumimoji="1" lang="ja-JP" altLang="en-US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48705</xdr:colOff>
      <xdr:row>77</xdr:row>
      <xdr:rowOff>60932</xdr:rowOff>
    </xdr:from>
    <xdr:to>
      <xdr:col>14</xdr:col>
      <xdr:colOff>191219</xdr:colOff>
      <xdr:row>79</xdr:row>
      <xdr:rowOff>0</xdr:rowOff>
    </xdr:to>
    <xdr:sp macro="" textlink="">
      <xdr:nvSpPr>
        <xdr:cNvPr id="217" name="テキスト ボックス 216">
          <a:extLst>
            <a:ext uri="{FF2B5EF4-FFF2-40B4-BE49-F238E27FC236}">
              <a16:creationId xmlns:a16="http://schemas.microsoft.com/office/drawing/2014/main" id="{5E54A497-182F-4879-A5E2-EC78C21B19FE}"/>
            </a:ext>
          </a:extLst>
        </xdr:cNvPr>
        <xdr:cNvSpPr txBox="1"/>
      </xdr:nvSpPr>
      <xdr:spPr>
        <a:xfrm>
          <a:off x="3795205" y="11871932"/>
          <a:ext cx="412389" cy="3287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Y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24836</xdr:colOff>
      <xdr:row>73</xdr:row>
      <xdr:rowOff>7272</xdr:rowOff>
    </xdr:from>
    <xdr:to>
      <xdr:col>8</xdr:col>
      <xdr:colOff>114854</xdr:colOff>
      <xdr:row>74</xdr:row>
      <xdr:rowOff>125641</xdr:rowOff>
    </xdr:to>
    <xdr:sp macro="" textlink="">
      <xdr:nvSpPr>
        <xdr:cNvPr id="218" name="テキスト ボックス 217">
          <a:extLst>
            <a:ext uri="{FF2B5EF4-FFF2-40B4-BE49-F238E27FC236}">
              <a16:creationId xmlns:a16="http://schemas.microsoft.com/office/drawing/2014/main" id="{252C83FE-BDB7-460C-9654-C23A9E9F6A6A}"/>
            </a:ext>
          </a:extLst>
        </xdr:cNvPr>
        <xdr:cNvSpPr txBox="1"/>
      </xdr:nvSpPr>
      <xdr:spPr>
        <a:xfrm>
          <a:off x="2152086" y="11119772"/>
          <a:ext cx="359893" cy="2929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N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285753</xdr:colOff>
      <xdr:row>74</xdr:row>
      <xdr:rowOff>162077</xdr:rowOff>
    </xdr:from>
    <xdr:to>
      <xdr:col>7</xdr:col>
      <xdr:colOff>232454</xdr:colOff>
      <xdr:row>122</xdr:row>
      <xdr:rowOff>19080</xdr:rowOff>
    </xdr:to>
    <xdr:cxnSp macro="">
      <xdr:nvCxnSpPr>
        <xdr:cNvPr id="219" name="コネクタ: カギ線 218">
          <a:extLst>
            <a:ext uri="{FF2B5EF4-FFF2-40B4-BE49-F238E27FC236}">
              <a16:creationId xmlns:a16="http://schemas.microsoft.com/office/drawing/2014/main" id="{34B65823-B653-470F-8724-71D1B18D9F48}"/>
            </a:ext>
          </a:extLst>
        </xdr:cNvPr>
        <xdr:cNvCxnSpPr>
          <a:stCxn id="216" idx="1"/>
          <a:endCxn id="200" idx="1"/>
        </xdr:cNvCxnSpPr>
      </xdr:nvCxnSpPr>
      <xdr:spPr>
        <a:xfrm rot="10800000" flipV="1">
          <a:off x="1905003" y="11449202"/>
          <a:ext cx="454701" cy="8064378"/>
        </a:xfrm>
        <a:prstGeom prst="bentConnector3">
          <a:avLst>
            <a:gd name="adj1" fmla="val 178205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317498</xdr:colOff>
      <xdr:row>105</xdr:row>
      <xdr:rowOff>11513</xdr:rowOff>
    </xdr:from>
    <xdr:to>
      <xdr:col>20</xdr:col>
      <xdr:colOff>32009</xdr:colOff>
      <xdr:row>108</xdr:row>
      <xdr:rowOff>141251</xdr:rowOff>
    </xdr:to>
    <xdr:sp macro="" textlink="">
      <xdr:nvSpPr>
        <xdr:cNvPr id="220" name="フローチャート: 処理 219">
          <a:extLst>
            <a:ext uri="{FF2B5EF4-FFF2-40B4-BE49-F238E27FC236}">
              <a16:creationId xmlns:a16="http://schemas.microsoft.com/office/drawing/2014/main" id="{D9D3F1CA-A5E0-45E3-BEEA-8184A844FDC5}"/>
            </a:ext>
          </a:extLst>
        </xdr:cNvPr>
        <xdr:cNvSpPr/>
      </xdr:nvSpPr>
      <xdr:spPr>
        <a:xfrm>
          <a:off x="1936748" y="46858638"/>
          <a:ext cx="3730886" cy="653613"/>
        </a:xfrm>
        <a:prstGeom prst="flowChartProcess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en-US" altLang="ja-JP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．拠点・エネルギーデータ、レポート情報</a:t>
          </a:r>
          <a:endParaRPr kumimoji="1" lang="en-US" altLang="ja-JP" sz="10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indent="0" algn="ctr"/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の組織</a:t>
          </a:r>
          <a:r>
            <a:rPr kumimoji="1" lang="en-US" altLang="ja-JP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ID</a:t>
          </a:r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の更新</a:t>
          </a:r>
        </a:p>
      </xdr:txBody>
    </xdr:sp>
    <xdr:clientData/>
  </xdr:twoCellAnchor>
  <xdr:twoCellAnchor>
    <xdr:from>
      <xdr:col>23</xdr:col>
      <xdr:colOff>256266</xdr:colOff>
      <xdr:row>106</xdr:row>
      <xdr:rowOff>52335</xdr:rowOff>
    </xdr:from>
    <xdr:to>
      <xdr:col>28</xdr:col>
      <xdr:colOff>126997</xdr:colOff>
      <xdr:row>110</xdr:row>
      <xdr:rowOff>234</xdr:rowOff>
    </xdr:to>
    <xdr:sp macro="" textlink="">
      <xdr:nvSpPr>
        <xdr:cNvPr id="223" name="AutoShape 140">
          <a:extLst>
            <a:ext uri="{FF2B5EF4-FFF2-40B4-BE49-F238E27FC236}">
              <a16:creationId xmlns:a16="http://schemas.microsoft.com/office/drawing/2014/main" id="{FCEFADD8-04A4-4F9D-93C2-7DCF07C6EFC1}"/>
            </a:ext>
          </a:extLst>
        </xdr:cNvPr>
        <xdr:cNvSpPr>
          <a:spLocks noChangeArrowheads="1"/>
        </xdr:cNvSpPr>
      </xdr:nvSpPr>
      <xdr:spPr bwMode="auto">
        <a:xfrm>
          <a:off x="6760480" y="13537014"/>
          <a:ext cx="1231446" cy="655470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レポート格納情報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32009</xdr:colOff>
      <xdr:row>106</xdr:row>
      <xdr:rowOff>163695</xdr:rowOff>
    </xdr:from>
    <xdr:to>
      <xdr:col>23</xdr:col>
      <xdr:colOff>190498</xdr:colOff>
      <xdr:row>106</xdr:row>
      <xdr:rowOff>170263</xdr:rowOff>
    </xdr:to>
    <xdr:cxnSp macro="">
      <xdr:nvCxnSpPr>
        <xdr:cNvPr id="231" name="直線矢印コネクタ 230">
          <a:extLst>
            <a:ext uri="{FF2B5EF4-FFF2-40B4-BE49-F238E27FC236}">
              <a16:creationId xmlns:a16="http://schemas.microsoft.com/office/drawing/2014/main" id="{D07CE44C-4778-4363-9646-F646ED75FA6E}"/>
            </a:ext>
          </a:extLst>
        </xdr:cNvPr>
        <xdr:cNvCxnSpPr>
          <a:cxnSpLocks/>
          <a:stCxn id="220" idx="3"/>
        </xdr:cNvCxnSpPr>
      </xdr:nvCxnSpPr>
      <xdr:spPr>
        <a:xfrm>
          <a:off x="5667634" y="47185445"/>
          <a:ext cx="968114" cy="6568"/>
        </a:xfrm>
        <a:prstGeom prst="straightConnector1">
          <a:avLst/>
        </a:prstGeom>
        <a:ln w="41275">
          <a:solidFill>
            <a:srgbClr val="002060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102053</xdr:colOff>
      <xdr:row>153</xdr:row>
      <xdr:rowOff>136072</xdr:rowOff>
    </xdr:from>
    <xdr:to>
      <xdr:col>21</xdr:col>
      <xdr:colOff>145446</xdr:colOff>
      <xdr:row>156</xdr:row>
      <xdr:rowOff>48231</xdr:rowOff>
    </xdr:to>
    <xdr:sp macro="" textlink="">
      <xdr:nvSpPr>
        <xdr:cNvPr id="261" name="四角形: 上の 2 つの角を切り取る 260">
          <a:extLst>
            <a:ext uri="{FF2B5EF4-FFF2-40B4-BE49-F238E27FC236}">
              <a16:creationId xmlns:a16="http://schemas.microsoft.com/office/drawing/2014/main" id="{EB2BEDA8-2582-4AC1-9A4B-5BD8A5E70FF8}"/>
            </a:ext>
          </a:extLst>
        </xdr:cNvPr>
        <xdr:cNvSpPr/>
      </xdr:nvSpPr>
      <xdr:spPr>
        <a:xfrm flipV="1">
          <a:off x="1462767" y="24166286"/>
          <a:ext cx="4642608" cy="442838"/>
        </a:xfrm>
        <a:prstGeom prst="snip2SameRect">
          <a:avLst>
            <a:gd name="adj1" fmla="val 50000"/>
            <a:gd name="adj2" fmla="val 0"/>
          </a:avLst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ja-JP" altLang="ja-JP" sz="1400" b="1">
            <a:effectLst/>
          </a:endParaRPr>
        </a:p>
      </xdr:txBody>
    </xdr:sp>
    <xdr:clientData/>
  </xdr:twoCellAnchor>
  <xdr:twoCellAnchor>
    <xdr:from>
      <xdr:col>1</xdr:col>
      <xdr:colOff>204107</xdr:colOff>
      <xdr:row>31</xdr:row>
      <xdr:rowOff>54428</xdr:rowOff>
    </xdr:from>
    <xdr:to>
      <xdr:col>43</xdr:col>
      <xdr:colOff>13608</xdr:colOff>
      <xdr:row>130</xdr:row>
      <xdr:rowOff>122464</xdr:rowOff>
    </xdr:to>
    <xdr:sp macro="" textlink="">
      <xdr:nvSpPr>
        <xdr:cNvPr id="4" name="AutoShape 22">
          <a:extLst>
            <a:ext uri="{FF2B5EF4-FFF2-40B4-BE49-F238E27FC236}">
              <a16:creationId xmlns:a16="http://schemas.microsoft.com/office/drawing/2014/main" id="{C2BBC2DB-AFE9-4560-A6E6-A5807D6075B9}"/>
            </a:ext>
          </a:extLst>
        </xdr:cNvPr>
        <xdr:cNvSpPr>
          <a:spLocks noChangeArrowheads="1"/>
        </xdr:cNvSpPr>
      </xdr:nvSpPr>
      <xdr:spPr bwMode="auto">
        <a:xfrm>
          <a:off x="476250" y="4136571"/>
          <a:ext cx="11484429" cy="13185322"/>
        </a:xfrm>
        <a:prstGeom prst="roundRect">
          <a:avLst>
            <a:gd name="adj" fmla="val 4402"/>
          </a:avLst>
        </a:prstGeom>
        <a:noFill/>
        <a:ln w="12700">
          <a:solidFill>
            <a:schemeClr val="accent6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  <xdr:txBody>
        <a:bodyPr vertOverflow="overflow" horzOverflow="overflow" wrap="none" lIns="0" tIns="0">
          <a:noAutofit/>
        </a:bodyPr>
        <a:lstStyle/>
        <a:p>
          <a:pPr algn="l"/>
          <a:r>
            <a:rPr lang="ja-JP" altLang="en-US" sz="1050">
              <a:latin typeface="Meiryo UI" panose="020B0604030504040204" pitchFamily="50" charset="-128"/>
              <a:ea typeface="Meiryo UI" panose="020B0604030504040204" pitchFamily="50" charset="-128"/>
            </a:rPr>
            <a:t>トランザクション開始</a:t>
          </a:r>
        </a:p>
      </xdr:txBody>
    </xdr:sp>
    <xdr:clientData/>
  </xdr:twoCellAnchor>
  <xdr:twoCellAnchor>
    <xdr:from>
      <xdr:col>13</xdr:col>
      <xdr:colOff>40822</xdr:colOff>
      <xdr:row>125</xdr:row>
      <xdr:rowOff>163284</xdr:rowOff>
    </xdr:from>
    <xdr:to>
      <xdr:col>29</xdr:col>
      <xdr:colOff>122465</xdr:colOff>
      <xdr:row>126</xdr:row>
      <xdr:rowOff>0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6983FF1B-D61A-4732-B78B-A11BEB404256}"/>
            </a:ext>
          </a:extLst>
        </xdr:cNvPr>
        <xdr:cNvCxnSpPr>
          <a:cxnSpLocks/>
        </xdr:cNvCxnSpPr>
      </xdr:nvCxnSpPr>
      <xdr:spPr>
        <a:xfrm>
          <a:off x="3823608" y="16655141"/>
          <a:ext cx="4435928" cy="13609"/>
        </a:xfrm>
        <a:prstGeom prst="straightConnector1">
          <a:avLst/>
        </a:prstGeom>
        <a:ln w="41275">
          <a:solidFill>
            <a:schemeClr val="accent6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244928</xdr:colOff>
      <xdr:row>133</xdr:row>
      <xdr:rowOff>68036</xdr:rowOff>
    </xdr:from>
    <xdr:to>
      <xdr:col>18</xdr:col>
      <xdr:colOff>106078</xdr:colOff>
      <xdr:row>139</xdr:row>
      <xdr:rowOff>11191</xdr:rowOff>
    </xdr:to>
    <xdr:sp macro="" textlink="">
      <xdr:nvSpPr>
        <xdr:cNvPr id="18" name="フローチャート: 判断 17">
          <a:extLst>
            <a:ext uri="{FF2B5EF4-FFF2-40B4-BE49-F238E27FC236}">
              <a16:creationId xmlns:a16="http://schemas.microsoft.com/office/drawing/2014/main" id="{E08DE6BC-1656-40E7-9827-982EFB8BF7DC}"/>
            </a:ext>
          </a:extLst>
        </xdr:cNvPr>
        <xdr:cNvSpPr/>
      </xdr:nvSpPr>
      <xdr:spPr>
        <a:xfrm>
          <a:off x="2394857" y="17798143"/>
          <a:ext cx="2854721" cy="1004512"/>
        </a:xfrm>
        <a:prstGeom prst="flowChartDecision">
          <a:avLst/>
        </a:prstGeom>
        <a:solidFill>
          <a:schemeClr val="bg1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12. 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エラー発生</a:t>
          </a:r>
        </a:p>
      </xdr:txBody>
    </xdr:sp>
    <xdr:clientData/>
  </xdr:twoCellAnchor>
  <xdr:twoCellAnchor>
    <xdr:from>
      <xdr:col>1</xdr:col>
      <xdr:colOff>163287</xdr:colOff>
      <xdr:row>132</xdr:row>
      <xdr:rowOff>27215</xdr:rowOff>
    </xdr:from>
    <xdr:to>
      <xdr:col>43</xdr:col>
      <xdr:colOff>1</xdr:colOff>
      <xdr:row>151</xdr:row>
      <xdr:rowOff>176891</xdr:rowOff>
    </xdr:to>
    <xdr:sp macro="" textlink="">
      <xdr:nvSpPr>
        <xdr:cNvPr id="20" name="AutoShape 22">
          <a:extLst>
            <a:ext uri="{FF2B5EF4-FFF2-40B4-BE49-F238E27FC236}">
              <a16:creationId xmlns:a16="http://schemas.microsoft.com/office/drawing/2014/main" id="{0718B884-5ED5-41F4-891F-77F3650988DF}"/>
            </a:ext>
          </a:extLst>
        </xdr:cNvPr>
        <xdr:cNvSpPr>
          <a:spLocks noChangeArrowheads="1"/>
        </xdr:cNvSpPr>
      </xdr:nvSpPr>
      <xdr:spPr bwMode="auto">
        <a:xfrm>
          <a:off x="435430" y="17580429"/>
          <a:ext cx="11511642" cy="3510641"/>
        </a:xfrm>
        <a:prstGeom prst="roundRect">
          <a:avLst>
            <a:gd name="adj" fmla="val 12950"/>
          </a:avLst>
        </a:prstGeom>
        <a:noFill/>
        <a:ln w="12700">
          <a:solidFill>
            <a:schemeClr val="accent6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  <xdr:txBody>
        <a:bodyPr vertOverflow="overflow" horzOverflow="overflow" wrap="none" lIns="0" tIns="0">
          <a:noAutofit/>
        </a:bodyPr>
        <a:lstStyle/>
        <a:p>
          <a:pPr algn="l"/>
          <a:r>
            <a:rPr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トランザクション開始</a:t>
          </a:r>
        </a:p>
      </xdr:txBody>
    </xdr:sp>
    <xdr:clientData/>
  </xdr:twoCellAnchor>
  <xdr:twoCellAnchor>
    <xdr:from>
      <xdr:col>29</xdr:col>
      <xdr:colOff>242661</xdr:colOff>
      <xdr:row>124</xdr:row>
      <xdr:rowOff>79374</xdr:rowOff>
    </xdr:from>
    <xdr:to>
      <xdr:col>36</xdr:col>
      <xdr:colOff>267608</xdr:colOff>
      <xdr:row>130</xdr:row>
      <xdr:rowOff>0</xdr:rowOff>
    </xdr:to>
    <xdr:sp macro="" textlink="">
      <xdr:nvSpPr>
        <xdr:cNvPr id="23" name="フローチャート: 処理 22">
          <a:extLst>
            <a:ext uri="{FF2B5EF4-FFF2-40B4-BE49-F238E27FC236}">
              <a16:creationId xmlns:a16="http://schemas.microsoft.com/office/drawing/2014/main" id="{FE353EEE-E906-4365-86B6-C595911A9C10}"/>
            </a:ext>
          </a:extLst>
        </xdr:cNvPr>
        <xdr:cNvSpPr/>
      </xdr:nvSpPr>
      <xdr:spPr>
        <a:xfrm>
          <a:off x="8307161" y="16494124"/>
          <a:ext cx="1914072" cy="1068159"/>
        </a:xfrm>
        <a:prstGeom prst="flowChartProcess">
          <a:avLst/>
        </a:prstGeom>
        <a:noFill/>
        <a:ln w="952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kumimoji="1" lang="ja-JP" altLang="en-US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コミット</a:t>
          </a:r>
          <a:endParaRPr kumimoji="1" lang="en-US" altLang="ja-JP" sz="11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indent="0" algn="l"/>
          <a:r>
            <a:rPr kumimoji="1" lang="en-US" altLang="ja-JP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※</a:t>
          </a:r>
          <a:r>
            <a:rPr kumimoji="1" lang="ja-JP" altLang="en-US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エラー時はロールバック</a:t>
          </a:r>
          <a:endParaRPr kumimoji="1" lang="en-US" altLang="ja-JP" sz="11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indent="0" algn="l"/>
          <a:r>
            <a:rPr kumimoji="1" lang="en-US" altLang="ja-JP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※</a:t>
          </a:r>
          <a:r>
            <a:rPr kumimoji="1" lang="ja-JP" altLang="en-US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エラー内容はログに出力</a:t>
          </a:r>
        </a:p>
      </xdr:txBody>
    </xdr:sp>
    <xdr:clientData/>
  </xdr:twoCellAnchor>
  <xdr:twoCellAnchor>
    <xdr:from>
      <xdr:col>6</xdr:col>
      <xdr:colOff>285750</xdr:colOff>
      <xdr:row>142</xdr:row>
      <xdr:rowOff>27214</xdr:rowOff>
    </xdr:from>
    <xdr:to>
      <xdr:col>20</xdr:col>
      <xdr:colOff>261</xdr:colOff>
      <xdr:row>145</xdr:row>
      <xdr:rowOff>159220</xdr:rowOff>
    </xdr:to>
    <xdr:sp macro="" textlink="">
      <xdr:nvSpPr>
        <xdr:cNvPr id="28" name="フローチャート: 処理 27">
          <a:extLst>
            <a:ext uri="{FF2B5EF4-FFF2-40B4-BE49-F238E27FC236}">
              <a16:creationId xmlns:a16="http://schemas.microsoft.com/office/drawing/2014/main" id="{EC28ADF5-182D-421A-9977-268BA915776E}"/>
            </a:ext>
          </a:extLst>
        </xdr:cNvPr>
        <xdr:cNvSpPr/>
      </xdr:nvSpPr>
      <xdr:spPr>
        <a:xfrm>
          <a:off x="1918607" y="19349357"/>
          <a:ext cx="3769440" cy="662684"/>
        </a:xfrm>
        <a:prstGeom prst="flowChartProcess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en-US" altLang="ja-JP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13</a:t>
          </a:r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．引継実施ステータス更新（エラー時）</a:t>
          </a:r>
        </a:p>
      </xdr:txBody>
    </xdr:sp>
    <xdr:clientData/>
  </xdr:twoCellAnchor>
  <xdr:twoCellAnchor>
    <xdr:from>
      <xdr:col>20</xdr:col>
      <xdr:colOff>261</xdr:colOff>
      <xdr:row>144</xdr:row>
      <xdr:rowOff>4770</xdr:rowOff>
    </xdr:from>
    <xdr:to>
      <xdr:col>24</xdr:col>
      <xdr:colOff>31748</xdr:colOff>
      <xdr:row>144</xdr:row>
      <xdr:rowOff>29781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BDF81084-4D58-4967-8E30-31238C8DA2B1}"/>
            </a:ext>
          </a:extLst>
        </xdr:cNvPr>
        <xdr:cNvCxnSpPr>
          <a:cxnSpLocks/>
          <a:stCxn id="28" idx="3"/>
          <a:endCxn id="37" idx="2"/>
        </xdr:cNvCxnSpPr>
      </xdr:nvCxnSpPr>
      <xdr:spPr>
        <a:xfrm>
          <a:off x="5688047" y="19680699"/>
          <a:ext cx="1120058" cy="25011"/>
        </a:xfrm>
        <a:prstGeom prst="straightConnector1">
          <a:avLst/>
        </a:prstGeom>
        <a:ln w="41275">
          <a:solidFill>
            <a:srgbClr val="002060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31748</xdr:colOff>
      <xdr:row>142</xdr:row>
      <xdr:rowOff>34450</xdr:rowOff>
    </xdr:from>
    <xdr:to>
      <xdr:col>27</xdr:col>
      <xdr:colOff>122328</xdr:colOff>
      <xdr:row>146</xdr:row>
      <xdr:rowOff>25112</xdr:rowOff>
    </xdr:to>
    <xdr:sp macro="" textlink="">
      <xdr:nvSpPr>
        <xdr:cNvPr id="37" name="AutoShape 140">
          <a:extLst>
            <a:ext uri="{FF2B5EF4-FFF2-40B4-BE49-F238E27FC236}">
              <a16:creationId xmlns:a16="http://schemas.microsoft.com/office/drawing/2014/main" id="{ACFA7127-D152-4E1A-872A-A0F9FA8FC095}"/>
            </a:ext>
          </a:extLst>
        </xdr:cNvPr>
        <xdr:cNvSpPr>
          <a:spLocks noChangeArrowheads="1"/>
        </xdr:cNvSpPr>
      </xdr:nvSpPr>
      <xdr:spPr bwMode="auto">
        <a:xfrm>
          <a:off x="6808105" y="19356593"/>
          <a:ext cx="907009" cy="698233"/>
        </a:xfrm>
        <a:prstGeom prst="flowChartMagneticDisk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営業担当引継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情報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81642</xdr:colOff>
      <xdr:row>138</xdr:row>
      <xdr:rowOff>149679</xdr:rowOff>
    </xdr:from>
    <xdr:to>
      <xdr:col>14</xdr:col>
      <xdr:colOff>226423</xdr:colOff>
      <xdr:row>140</xdr:row>
      <xdr:rowOff>129199</xdr:rowOff>
    </xdr:to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71FCB61A-BA5E-429C-9561-384272672489}"/>
            </a:ext>
          </a:extLst>
        </xdr:cNvPr>
        <xdr:cNvSpPr txBox="1"/>
      </xdr:nvSpPr>
      <xdr:spPr>
        <a:xfrm>
          <a:off x="3864428" y="18764250"/>
          <a:ext cx="416924" cy="3333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Y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27215</xdr:colOff>
      <xdr:row>147</xdr:row>
      <xdr:rowOff>163285</xdr:rowOff>
    </xdr:from>
    <xdr:to>
      <xdr:col>29</xdr:col>
      <xdr:colOff>108858</xdr:colOff>
      <xdr:row>148</xdr:row>
      <xdr:rowOff>1</xdr:rowOff>
    </xdr:to>
    <xdr:cxnSp macro="">
      <xdr:nvCxnSpPr>
        <xdr:cNvPr id="66" name="直線矢印コネクタ 65">
          <a:extLst>
            <a:ext uri="{FF2B5EF4-FFF2-40B4-BE49-F238E27FC236}">
              <a16:creationId xmlns:a16="http://schemas.microsoft.com/office/drawing/2014/main" id="{145AE719-D32C-4C75-9481-5D538B4384E2}"/>
            </a:ext>
          </a:extLst>
        </xdr:cNvPr>
        <xdr:cNvCxnSpPr>
          <a:cxnSpLocks/>
        </xdr:cNvCxnSpPr>
      </xdr:nvCxnSpPr>
      <xdr:spPr>
        <a:xfrm>
          <a:off x="3810001" y="20369892"/>
          <a:ext cx="4435928" cy="13609"/>
        </a:xfrm>
        <a:prstGeom prst="straightConnector1">
          <a:avLst/>
        </a:prstGeom>
        <a:ln w="41275">
          <a:solidFill>
            <a:schemeClr val="accent6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244929</xdr:colOff>
      <xdr:row>147</xdr:row>
      <xdr:rowOff>27215</xdr:rowOff>
    </xdr:from>
    <xdr:to>
      <xdr:col>37</xdr:col>
      <xdr:colOff>1</xdr:colOff>
      <xdr:row>151</xdr:row>
      <xdr:rowOff>68035</xdr:rowOff>
    </xdr:to>
    <xdr:sp macro="" textlink="">
      <xdr:nvSpPr>
        <xdr:cNvPr id="67" name="フローチャート: 処理 66">
          <a:extLst>
            <a:ext uri="{FF2B5EF4-FFF2-40B4-BE49-F238E27FC236}">
              <a16:creationId xmlns:a16="http://schemas.microsoft.com/office/drawing/2014/main" id="{9566FB40-2AE3-445C-8D09-72ADEC9C726A}"/>
            </a:ext>
          </a:extLst>
        </xdr:cNvPr>
        <xdr:cNvSpPr/>
      </xdr:nvSpPr>
      <xdr:spPr>
        <a:xfrm>
          <a:off x="8382000" y="20233822"/>
          <a:ext cx="1932215" cy="748392"/>
        </a:xfrm>
        <a:prstGeom prst="flowChartProcess">
          <a:avLst/>
        </a:prstGeom>
        <a:noFill/>
        <a:ln w="952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kumimoji="1" lang="ja-JP" altLang="en-US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コミット</a:t>
          </a:r>
          <a:endParaRPr kumimoji="1" lang="en-US" altLang="ja-JP" sz="11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indent="0" algn="l"/>
          <a:r>
            <a:rPr kumimoji="1" lang="en-US" altLang="ja-JP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※</a:t>
          </a:r>
          <a:r>
            <a:rPr kumimoji="1" lang="ja-JP" altLang="en-US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エラー時はロールバック</a:t>
          </a:r>
          <a:endParaRPr kumimoji="1" lang="en-US" altLang="ja-JP" sz="11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indent="0" algn="l"/>
          <a:r>
            <a:rPr kumimoji="1" lang="en-US" altLang="ja-JP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※</a:t>
          </a:r>
          <a:r>
            <a:rPr kumimoji="1" lang="ja-JP" altLang="en-US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エラー内容はログに出力</a:t>
          </a:r>
        </a:p>
      </xdr:txBody>
    </xdr:sp>
    <xdr:clientData/>
  </xdr:twoCellAnchor>
  <xdr:twoCellAnchor>
    <xdr:from>
      <xdr:col>7</xdr:col>
      <xdr:colOff>86066</xdr:colOff>
      <xdr:row>134</xdr:row>
      <xdr:rowOff>13607</xdr:rowOff>
    </xdr:from>
    <xdr:to>
      <xdr:col>8</xdr:col>
      <xdr:colOff>176084</xdr:colOff>
      <xdr:row>135</xdr:row>
      <xdr:rowOff>134244</xdr:rowOff>
    </xdr:to>
    <xdr:sp macro="" textlink="">
      <xdr:nvSpPr>
        <xdr:cNvPr id="73" name="テキスト ボックス 72">
          <a:extLst>
            <a:ext uri="{FF2B5EF4-FFF2-40B4-BE49-F238E27FC236}">
              <a16:creationId xmlns:a16="http://schemas.microsoft.com/office/drawing/2014/main" id="{5A6FDCED-3B9A-46B0-9EB1-45E6A9DDEDA6}"/>
            </a:ext>
          </a:extLst>
        </xdr:cNvPr>
        <xdr:cNvSpPr txBox="1"/>
      </xdr:nvSpPr>
      <xdr:spPr>
        <a:xfrm>
          <a:off x="2235995" y="17920607"/>
          <a:ext cx="362160" cy="2975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N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244928</xdr:colOff>
      <xdr:row>136</xdr:row>
      <xdr:rowOff>39612</xdr:rowOff>
    </xdr:from>
    <xdr:to>
      <xdr:col>13</xdr:col>
      <xdr:colOff>1285</xdr:colOff>
      <xdr:row>153</xdr:row>
      <xdr:rowOff>136071</xdr:rowOff>
    </xdr:to>
    <xdr:cxnSp macro="">
      <xdr:nvCxnSpPr>
        <xdr:cNvPr id="74" name="コネクタ: カギ線 73">
          <a:extLst>
            <a:ext uri="{FF2B5EF4-FFF2-40B4-BE49-F238E27FC236}">
              <a16:creationId xmlns:a16="http://schemas.microsoft.com/office/drawing/2014/main" id="{92338CDB-1297-42BA-BA1D-DBFEC773365C}"/>
            </a:ext>
          </a:extLst>
        </xdr:cNvPr>
        <xdr:cNvCxnSpPr>
          <a:stCxn id="18" idx="1"/>
          <a:endCxn id="261" idx="1"/>
        </xdr:cNvCxnSpPr>
      </xdr:nvCxnSpPr>
      <xdr:spPr>
        <a:xfrm rot="10800000" flipH="1" flipV="1">
          <a:off x="2394857" y="21062648"/>
          <a:ext cx="1389214" cy="3103637"/>
        </a:xfrm>
        <a:prstGeom prst="bentConnector4">
          <a:avLst>
            <a:gd name="adj1" fmla="val -112445"/>
            <a:gd name="adj2" fmla="val 82643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243995</xdr:colOff>
      <xdr:row>19</xdr:row>
      <xdr:rowOff>81642</xdr:rowOff>
    </xdr:from>
    <xdr:to>
      <xdr:col>27</xdr:col>
      <xdr:colOff>64700</xdr:colOff>
      <xdr:row>22</xdr:row>
      <xdr:rowOff>167554</xdr:rowOff>
    </xdr:to>
    <xdr:sp macro="" textlink="">
      <xdr:nvSpPr>
        <xdr:cNvPr id="51" name="AutoShape 140">
          <a:extLst>
            <a:ext uri="{FF2B5EF4-FFF2-40B4-BE49-F238E27FC236}">
              <a16:creationId xmlns:a16="http://schemas.microsoft.com/office/drawing/2014/main" id="{25003AD8-8996-42DF-B6D6-A26793F8906A}"/>
            </a:ext>
          </a:extLst>
        </xdr:cNvPr>
        <xdr:cNvSpPr>
          <a:spLocks noChangeArrowheads="1"/>
        </xdr:cNvSpPr>
      </xdr:nvSpPr>
      <xdr:spPr bwMode="auto">
        <a:xfrm>
          <a:off x="6748209" y="4476749"/>
          <a:ext cx="909277" cy="698234"/>
        </a:xfrm>
        <a:prstGeom prst="flowChartMagneticDisk">
          <a:avLst/>
        </a:prstGeom>
        <a:solidFill>
          <a:sysClr val="window" lastClr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営業担当引継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情報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54690</xdr:colOff>
      <xdr:row>21</xdr:row>
      <xdr:rowOff>18596</xdr:rowOff>
    </xdr:from>
    <xdr:to>
      <xdr:col>23</xdr:col>
      <xdr:colOff>243995</xdr:colOff>
      <xdr:row>21</xdr:row>
      <xdr:rowOff>22545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2CACBEF6-16F5-4848-909B-AD057FD2818B}"/>
            </a:ext>
          </a:extLst>
        </xdr:cNvPr>
        <xdr:cNvCxnSpPr>
          <a:cxnSpLocks/>
          <a:stCxn id="51" idx="2"/>
          <a:endCxn id="53" idx="3"/>
        </xdr:cNvCxnSpPr>
      </xdr:nvCxnSpPr>
      <xdr:spPr>
        <a:xfrm flipH="1" flipV="1">
          <a:off x="5742476" y="4821917"/>
          <a:ext cx="1005733" cy="3949"/>
        </a:xfrm>
        <a:prstGeom prst="straightConnector1">
          <a:avLst/>
        </a:prstGeom>
        <a:ln w="41275">
          <a:solidFill>
            <a:srgbClr val="002060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340179</xdr:colOff>
      <xdr:row>19</xdr:row>
      <xdr:rowOff>95467</xdr:rowOff>
    </xdr:from>
    <xdr:to>
      <xdr:col>20</xdr:col>
      <xdr:colOff>54690</xdr:colOff>
      <xdr:row>22</xdr:row>
      <xdr:rowOff>145831</xdr:rowOff>
    </xdr:to>
    <xdr:sp macro="" textlink="">
      <xdr:nvSpPr>
        <xdr:cNvPr id="53" name="フローチャート: 処理 52">
          <a:extLst>
            <a:ext uri="{FF2B5EF4-FFF2-40B4-BE49-F238E27FC236}">
              <a16:creationId xmlns:a16="http://schemas.microsoft.com/office/drawing/2014/main" id="{429692EA-EFE9-48D9-A760-D53D50E86B24}"/>
            </a:ext>
          </a:extLst>
        </xdr:cNvPr>
        <xdr:cNvSpPr/>
      </xdr:nvSpPr>
      <xdr:spPr>
        <a:xfrm>
          <a:off x="1973036" y="4490574"/>
          <a:ext cx="3769440" cy="662686"/>
        </a:xfrm>
        <a:prstGeom prst="flowChartProcess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en-US" altLang="ja-JP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．引継対象の取得</a:t>
          </a:r>
        </a:p>
      </xdr:txBody>
    </xdr:sp>
    <xdr:clientData/>
  </xdr:twoCellAnchor>
  <xdr:twoCellAnchor>
    <xdr:from>
      <xdr:col>6</xdr:col>
      <xdr:colOff>381000</xdr:colOff>
      <xdr:row>11</xdr:row>
      <xdr:rowOff>95250</xdr:rowOff>
    </xdr:from>
    <xdr:to>
      <xdr:col>20</xdr:col>
      <xdr:colOff>95511</xdr:colOff>
      <xdr:row>15</xdr:row>
      <xdr:rowOff>63972</xdr:rowOff>
    </xdr:to>
    <xdr:sp macro="" textlink="">
      <xdr:nvSpPr>
        <xdr:cNvPr id="15" name="フローチャート: 処理 14">
          <a:extLst>
            <a:ext uri="{FF2B5EF4-FFF2-40B4-BE49-F238E27FC236}">
              <a16:creationId xmlns:a16="http://schemas.microsoft.com/office/drawing/2014/main" id="{C32B09D9-9063-46F4-8000-1908655992D7}"/>
            </a:ext>
          </a:extLst>
        </xdr:cNvPr>
        <xdr:cNvSpPr/>
      </xdr:nvSpPr>
      <xdr:spPr>
        <a:xfrm>
          <a:off x="2000250" y="2127250"/>
          <a:ext cx="3730886" cy="667222"/>
        </a:xfrm>
        <a:prstGeom prst="flowChartProcess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en-US" altLang="ja-JP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．バッチ実行年月日取得</a:t>
          </a:r>
        </a:p>
      </xdr:txBody>
    </xdr:sp>
    <xdr:clientData/>
  </xdr:twoCellAnchor>
  <xdr:twoCellAnchor>
    <xdr:from>
      <xdr:col>7</xdr:col>
      <xdr:colOff>239367</xdr:colOff>
      <xdr:row>32</xdr:row>
      <xdr:rowOff>95249</xdr:rowOff>
    </xdr:from>
    <xdr:to>
      <xdr:col>18</xdr:col>
      <xdr:colOff>100517</xdr:colOff>
      <xdr:row>40</xdr:row>
      <xdr:rowOff>111125</xdr:rowOff>
    </xdr:to>
    <xdr:sp macro="" textlink="">
      <xdr:nvSpPr>
        <xdr:cNvPr id="22" name="フローチャート: 判断 21">
          <a:extLst>
            <a:ext uri="{FF2B5EF4-FFF2-40B4-BE49-F238E27FC236}">
              <a16:creationId xmlns:a16="http://schemas.microsoft.com/office/drawing/2014/main" id="{BC11E6B4-E6C6-439D-AB5E-5732EFC58552}"/>
            </a:ext>
          </a:extLst>
        </xdr:cNvPr>
        <xdr:cNvSpPr/>
      </xdr:nvSpPr>
      <xdr:spPr>
        <a:xfrm>
          <a:off x="2366617" y="6175374"/>
          <a:ext cx="2829775" cy="1412876"/>
        </a:xfrm>
        <a:prstGeom prst="flowChartDecision">
          <a:avLst/>
        </a:prstGeom>
        <a:solidFill>
          <a:schemeClr val="bg1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3.</a:t>
          </a:r>
          <a:r>
            <a:rPr kumimoji="1" lang="en-US" altLang="ja-JP" sz="100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ja-JP" altLang="en-US" sz="100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引継元担当者</a:t>
          </a:r>
          <a:r>
            <a:rPr kumimoji="1" lang="en-US" altLang="ja-JP" sz="100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100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endParaRPr kumimoji="1" lang="en-US" altLang="ja-JP" sz="1000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00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担当者情報マスタ</a:t>
          </a:r>
          <a:r>
            <a:rPr kumimoji="1" lang="en-US" altLang="ja-JP" sz="100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TBL</a:t>
          </a:r>
          <a:r>
            <a:rPr kumimoji="1" lang="ja-JP" altLang="en-US" sz="100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の担当者ユーザー</a:t>
          </a:r>
          <a:r>
            <a:rPr kumimoji="1" lang="en-US" altLang="ja-JP" sz="100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100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に存在する</a:t>
          </a:r>
          <a:endParaRPr kumimoji="1" lang="en-US" altLang="ja-JP" sz="1000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103244</xdr:colOff>
      <xdr:row>40</xdr:row>
      <xdr:rowOff>29182</xdr:rowOff>
    </xdr:from>
    <xdr:to>
      <xdr:col>14</xdr:col>
      <xdr:colOff>245758</xdr:colOff>
      <xdr:row>42</xdr:row>
      <xdr:rowOff>8702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8C230DE0-93B1-4264-B6ED-2308534C811C}"/>
            </a:ext>
          </a:extLst>
        </xdr:cNvPr>
        <xdr:cNvSpPr txBox="1"/>
      </xdr:nvSpPr>
      <xdr:spPr>
        <a:xfrm>
          <a:off x="3849744" y="7506307"/>
          <a:ext cx="412389" cy="3287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Y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460375</xdr:colOff>
      <xdr:row>34</xdr:row>
      <xdr:rowOff>166022</xdr:rowOff>
    </xdr:from>
    <xdr:to>
      <xdr:col>8</xdr:col>
      <xdr:colOff>42393</xdr:colOff>
      <xdr:row>36</xdr:row>
      <xdr:rowOff>109766</xdr:rowOff>
    </xdr:to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E33C90B3-DD50-4485-9E30-303F1E17331D}"/>
            </a:ext>
          </a:extLst>
        </xdr:cNvPr>
        <xdr:cNvSpPr txBox="1"/>
      </xdr:nvSpPr>
      <xdr:spPr>
        <a:xfrm>
          <a:off x="2079625" y="6595397"/>
          <a:ext cx="359893" cy="2929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N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301625</xdr:colOff>
      <xdr:row>36</xdr:row>
      <xdr:rowOff>103187</xdr:rowOff>
    </xdr:from>
    <xdr:to>
      <xdr:col>7</xdr:col>
      <xdr:colOff>239367</xdr:colOff>
      <xdr:row>53</xdr:row>
      <xdr:rowOff>121831</xdr:rowOff>
    </xdr:to>
    <xdr:cxnSp macro="">
      <xdr:nvCxnSpPr>
        <xdr:cNvPr id="32" name="コネクタ: カギ線 31">
          <a:extLst>
            <a:ext uri="{FF2B5EF4-FFF2-40B4-BE49-F238E27FC236}">
              <a16:creationId xmlns:a16="http://schemas.microsoft.com/office/drawing/2014/main" id="{57C1C177-6694-4B0A-B89E-3647FC61B06F}"/>
            </a:ext>
          </a:extLst>
        </xdr:cNvPr>
        <xdr:cNvCxnSpPr>
          <a:cxnSpLocks/>
          <a:stCxn id="22" idx="1"/>
          <a:endCxn id="30" idx="1"/>
        </xdr:cNvCxnSpPr>
      </xdr:nvCxnSpPr>
      <xdr:spPr>
        <a:xfrm rot="10800000" flipV="1">
          <a:off x="1934482" y="6879544"/>
          <a:ext cx="454814" cy="3053037"/>
        </a:xfrm>
        <a:prstGeom prst="bentConnector3">
          <a:avLst>
            <a:gd name="adj1" fmla="val 192147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27214</xdr:colOff>
      <xdr:row>111</xdr:row>
      <xdr:rowOff>83909</xdr:rowOff>
    </xdr:from>
    <xdr:to>
      <xdr:col>29</xdr:col>
      <xdr:colOff>108857</xdr:colOff>
      <xdr:row>111</xdr:row>
      <xdr:rowOff>97518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4CF93322-7183-481E-A68A-5D849C187F8A}"/>
            </a:ext>
          </a:extLst>
        </xdr:cNvPr>
        <xdr:cNvCxnSpPr>
          <a:cxnSpLocks/>
        </xdr:cNvCxnSpPr>
      </xdr:nvCxnSpPr>
      <xdr:spPr>
        <a:xfrm>
          <a:off x="3810000" y="12548052"/>
          <a:ext cx="4435928" cy="13609"/>
        </a:xfrm>
        <a:prstGeom prst="straightConnector1">
          <a:avLst/>
        </a:prstGeom>
        <a:ln w="41275">
          <a:solidFill>
            <a:schemeClr val="accent6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215446</xdr:colOff>
      <xdr:row>110</xdr:row>
      <xdr:rowOff>108858</xdr:rowOff>
    </xdr:from>
    <xdr:to>
      <xdr:col>36</xdr:col>
      <xdr:colOff>240393</xdr:colOff>
      <xdr:row>115</xdr:row>
      <xdr:rowOff>20410</xdr:rowOff>
    </xdr:to>
    <xdr:sp macro="" textlink="">
      <xdr:nvSpPr>
        <xdr:cNvPr id="9" name="フローチャート: 処理 8">
          <a:extLst>
            <a:ext uri="{FF2B5EF4-FFF2-40B4-BE49-F238E27FC236}">
              <a16:creationId xmlns:a16="http://schemas.microsoft.com/office/drawing/2014/main" id="{25CC2836-A086-4F1C-B15B-092F0E5AC4CF}"/>
            </a:ext>
          </a:extLst>
        </xdr:cNvPr>
        <xdr:cNvSpPr/>
      </xdr:nvSpPr>
      <xdr:spPr>
        <a:xfrm>
          <a:off x="8352517" y="12396108"/>
          <a:ext cx="1929947" cy="796016"/>
        </a:xfrm>
        <a:prstGeom prst="flowChartProcess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kumimoji="1" lang="ja-JP" altLang="en-US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コミット</a:t>
          </a:r>
          <a:endParaRPr kumimoji="1" lang="en-US" altLang="ja-JP" sz="11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indent="0" algn="l"/>
          <a:r>
            <a:rPr kumimoji="1" lang="en-US" altLang="ja-JP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※</a:t>
          </a:r>
          <a:r>
            <a:rPr kumimoji="1" lang="ja-JP" altLang="en-US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エラー時はロールバック</a:t>
          </a:r>
          <a:endParaRPr kumimoji="1" lang="en-US" altLang="ja-JP" sz="11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indent="0" algn="l"/>
          <a:r>
            <a:rPr kumimoji="1" lang="en-US" altLang="ja-JP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※</a:t>
          </a:r>
          <a:r>
            <a:rPr kumimoji="1" lang="ja-JP" altLang="en-US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エラー内容はログに出力</a:t>
          </a:r>
        </a:p>
      </xdr:txBody>
    </xdr:sp>
    <xdr:clientData/>
  </xdr:twoCellAnchor>
  <xdr:twoCellAnchor>
    <xdr:from>
      <xdr:col>7</xdr:col>
      <xdr:colOff>232453</xdr:colOff>
      <xdr:row>89</xdr:row>
      <xdr:rowOff>68036</xdr:rowOff>
    </xdr:from>
    <xdr:to>
      <xdr:col>18</xdr:col>
      <xdr:colOff>93603</xdr:colOff>
      <xdr:row>96</xdr:row>
      <xdr:rowOff>122464</xdr:rowOff>
    </xdr:to>
    <xdr:sp macro="" textlink="">
      <xdr:nvSpPr>
        <xdr:cNvPr id="2" name="フローチャート: 判断 1">
          <a:extLst>
            <a:ext uri="{FF2B5EF4-FFF2-40B4-BE49-F238E27FC236}">
              <a16:creationId xmlns:a16="http://schemas.microsoft.com/office/drawing/2014/main" id="{E618EEAB-E4B5-4A0F-9200-C8C73AB48540}"/>
            </a:ext>
          </a:extLst>
        </xdr:cNvPr>
        <xdr:cNvSpPr/>
      </xdr:nvSpPr>
      <xdr:spPr>
        <a:xfrm>
          <a:off x="2382382" y="14831786"/>
          <a:ext cx="2854721" cy="1292678"/>
        </a:xfrm>
        <a:prstGeom prst="flowChartDecision">
          <a:avLst/>
        </a:prstGeom>
        <a:solidFill>
          <a:schemeClr val="bg1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9. 8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で抽出したデータで</a:t>
          </a:r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</a:p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建物マスタの行が</a:t>
          </a:r>
          <a:endParaRPr kumimoji="1"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NULL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でない</a:t>
          </a:r>
        </a:p>
      </xdr:txBody>
    </xdr:sp>
    <xdr:clientData/>
  </xdr:twoCellAnchor>
  <xdr:twoCellAnchor>
    <xdr:from>
      <xdr:col>13</xdr:col>
      <xdr:colOff>35098</xdr:colOff>
      <xdr:row>96</xdr:row>
      <xdr:rowOff>20110</xdr:rowOff>
    </xdr:from>
    <xdr:to>
      <xdr:col>14</xdr:col>
      <xdr:colOff>177612</xdr:colOff>
      <xdr:row>97</xdr:row>
      <xdr:rowOff>136071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5B54BBFE-FF53-40EB-86A0-5AA32F8666DA}"/>
            </a:ext>
          </a:extLst>
        </xdr:cNvPr>
        <xdr:cNvSpPr txBox="1"/>
      </xdr:nvSpPr>
      <xdr:spPr>
        <a:xfrm>
          <a:off x="3817884" y="16022110"/>
          <a:ext cx="414657" cy="2928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Y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52050</xdr:colOff>
      <xdr:row>91</xdr:row>
      <xdr:rowOff>75308</xdr:rowOff>
    </xdr:from>
    <xdr:to>
      <xdr:col>8</xdr:col>
      <xdr:colOff>142068</xdr:colOff>
      <xdr:row>93</xdr:row>
      <xdr:rowOff>16785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F134E1F2-3C54-4F3C-9FEF-4C69413A8291}"/>
            </a:ext>
          </a:extLst>
        </xdr:cNvPr>
        <xdr:cNvSpPr txBox="1"/>
      </xdr:nvSpPr>
      <xdr:spPr>
        <a:xfrm>
          <a:off x="2201979" y="15192844"/>
          <a:ext cx="362160" cy="2952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N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28</xdr:col>
      <xdr:colOff>181181</xdr:colOff>
      <xdr:row>84</xdr:row>
      <xdr:rowOff>47333</xdr:rowOff>
    </xdr:from>
    <xdr:to>
      <xdr:col>32</xdr:col>
      <xdr:colOff>18240</xdr:colOff>
      <xdr:row>87</xdr:row>
      <xdr:rowOff>172125</xdr:rowOff>
    </xdr:to>
    <xdr:sp macro="" textlink="">
      <xdr:nvSpPr>
        <xdr:cNvPr id="11" name="AutoShape 140">
          <a:extLst>
            <a:ext uri="{FF2B5EF4-FFF2-40B4-BE49-F238E27FC236}">
              <a16:creationId xmlns:a16="http://schemas.microsoft.com/office/drawing/2014/main" id="{1976D6AE-BBF3-4FFB-9495-43F79290CF82}"/>
            </a:ext>
          </a:extLst>
        </xdr:cNvPr>
        <xdr:cNvSpPr>
          <a:spLocks noChangeArrowheads="1"/>
        </xdr:cNvSpPr>
      </xdr:nvSpPr>
      <xdr:spPr bwMode="auto">
        <a:xfrm>
          <a:off x="8046110" y="14811083"/>
          <a:ext cx="925630" cy="655471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建物マスタ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32</xdr:col>
      <xdr:colOff>63500</xdr:colOff>
      <xdr:row>84</xdr:row>
      <xdr:rowOff>15875</xdr:rowOff>
    </xdr:from>
    <xdr:to>
      <xdr:col>35</xdr:col>
      <xdr:colOff>170434</xdr:colOff>
      <xdr:row>87</xdr:row>
      <xdr:rowOff>140667</xdr:rowOff>
    </xdr:to>
    <xdr:sp macro="" textlink="">
      <xdr:nvSpPr>
        <xdr:cNvPr id="13" name="AutoShape 140">
          <a:extLst>
            <a:ext uri="{FF2B5EF4-FFF2-40B4-BE49-F238E27FC236}">
              <a16:creationId xmlns:a16="http://schemas.microsoft.com/office/drawing/2014/main" id="{344AFA67-30CB-4817-9BF3-E8EADE16A336}"/>
            </a:ext>
          </a:extLst>
        </xdr:cNvPr>
        <xdr:cNvSpPr>
          <a:spLocks noChangeArrowheads="1"/>
        </xdr:cNvSpPr>
      </xdr:nvSpPr>
      <xdr:spPr bwMode="auto">
        <a:xfrm>
          <a:off x="9017000" y="14779625"/>
          <a:ext cx="923363" cy="655471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ja-JP" sz="100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CN</a:t>
          </a:r>
          <a:r>
            <a:rPr lang="zh-TW" altLang="ja-JP" sz="100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対策実施</a:t>
          </a:r>
          <a:endParaRPr lang="en-US" altLang="zh-TW" sz="1000"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TW" altLang="ja-JP" sz="100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申込情報</a:t>
          </a:r>
          <a:endParaRPr lang="ja-JP" altLang="ja-JP" sz="10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 rtl="0">
            <a:lnSpc>
              <a:spcPct val="100000"/>
            </a:lnSpc>
            <a:defRPr sz="1000"/>
          </a:pP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36</xdr:col>
      <xdr:colOff>15875</xdr:colOff>
      <xdr:row>84</xdr:row>
      <xdr:rowOff>47625</xdr:rowOff>
    </xdr:from>
    <xdr:to>
      <xdr:col>39</xdr:col>
      <xdr:colOff>122809</xdr:colOff>
      <xdr:row>87</xdr:row>
      <xdr:rowOff>172417</xdr:rowOff>
    </xdr:to>
    <xdr:sp macro="" textlink="">
      <xdr:nvSpPr>
        <xdr:cNvPr id="14" name="AutoShape 140">
          <a:extLst>
            <a:ext uri="{FF2B5EF4-FFF2-40B4-BE49-F238E27FC236}">
              <a16:creationId xmlns:a16="http://schemas.microsoft.com/office/drawing/2014/main" id="{D422CB03-EE80-4702-B5DE-A781AEE9C9D9}"/>
            </a:ext>
          </a:extLst>
        </xdr:cNvPr>
        <xdr:cNvSpPr>
          <a:spLocks noChangeArrowheads="1"/>
        </xdr:cNvSpPr>
      </xdr:nvSpPr>
      <xdr:spPr bwMode="auto">
        <a:xfrm>
          <a:off x="10057946" y="14811375"/>
          <a:ext cx="923363" cy="655471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建物情報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23</xdr:col>
      <xdr:colOff>158748</xdr:colOff>
      <xdr:row>79</xdr:row>
      <xdr:rowOff>138513</xdr:rowOff>
    </xdr:from>
    <xdr:to>
      <xdr:col>28</xdr:col>
      <xdr:colOff>31748</xdr:colOff>
      <xdr:row>83</xdr:row>
      <xdr:rowOff>88680</xdr:rowOff>
    </xdr:to>
    <xdr:sp macro="" textlink="">
      <xdr:nvSpPr>
        <xdr:cNvPr id="16" name="AutoShape 140">
          <a:extLst>
            <a:ext uri="{FF2B5EF4-FFF2-40B4-BE49-F238E27FC236}">
              <a16:creationId xmlns:a16="http://schemas.microsoft.com/office/drawing/2014/main" id="{385FA5B7-4765-4F52-A9A0-B4F9232BCE9C}"/>
            </a:ext>
          </a:extLst>
        </xdr:cNvPr>
        <xdr:cNvSpPr>
          <a:spLocks noChangeArrowheads="1"/>
        </xdr:cNvSpPr>
      </xdr:nvSpPr>
      <xdr:spPr bwMode="auto">
        <a:xfrm>
          <a:off x="6662962" y="14017799"/>
          <a:ext cx="1233715" cy="657738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ja-JP" sz="100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月別建物エネルギー</a:t>
          </a:r>
          <a:endParaRPr lang="en-US" altLang="ja-JP" sz="1000"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ja-JP" sz="100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集計情報</a:t>
          </a:r>
          <a:endParaRPr lang="ja-JP" altLang="ja-JP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 rtl="0">
            <a:lnSpc>
              <a:spcPct val="100000"/>
            </a:lnSpc>
            <a:defRPr sz="1000"/>
          </a:pP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28</xdr:col>
      <xdr:colOff>47623</xdr:colOff>
      <xdr:row>79</xdr:row>
      <xdr:rowOff>138513</xdr:rowOff>
    </xdr:from>
    <xdr:to>
      <xdr:col>32</xdr:col>
      <xdr:colOff>190498</xdr:colOff>
      <xdr:row>83</xdr:row>
      <xdr:rowOff>88680</xdr:rowOff>
    </xdr:to>
    <xdr:sp macro="" textlink="">
      <xdr:nvSpPr>
        <xdr:cNvPr id="17" name="AutoShape 140">
          <a:extLst>
            <a:ext uri="{FF2B5EF4-FFF2-40B4-BE49-F238E27FC236}">
              <a16:creationId xmlns:a16="http://schemas.microsoft.com/office/drawing/2014/main" id="{5F05364D-D801-4872-B4BF-91B6EC52AF5C}"/>
            </a:ext>
          </a:extLst>
        </xdr:cNvPr>
        <xdr:cNvSpPr>
          <a:spLocks noChangeArrowheads="1"/>
        </xdr:cNvSpPr>
      </xdr:nvSpPr>
      <xdr:spPr bwMode="auto">
        <a:xfrm>
          <a:off x="7912552" y="14017799"/>
          <a:ext cx="1231446" cy="657738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100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年度</a:t>
          </a:r>
          <a:r>
            <a:rPr lang="ja-JP" altLang="ja-JP" sz="100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別建物エネルギー</a:t>
          </a:r>
          <a:endParaRPr lang="en-US" altLang="ja-JP" sz="1000"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ja-JP" sz="100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集計情報</a:t>
          </a:r>
          <a:endParaRPr lang="ja-JP" altLang="ja-JP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 rtl="0">
            <a:lnSpc>
              <a:spcPct val="100000"/>
            </a:lnSpc>
            <a:defRPr sz="1000"/>
          </a:pP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32</xdr:col>
      <xdr:colOff>206373</xdr:colOff>
      <xdr:row>79</xdr:row>
      <xdr:rowOff>122639</xdr:rowOff>
    </xdr:from>
    <xdr:to>
      <xdr:col>37</xdr:col>
      <xdr:colOff>79373</xdr:colOff>
      <xdr:row>83</xdr:row>
      <xdr:rowOff>120431</xdr:rowOff>
    </xdr:to>
    <xdr:sp macro="" textlink="">
      <xdr:nvSpPr>
        <xdr:cNvPr id="19" name="AutoShape 140">
          <a:extLst>
            <a:ext uri="{FF2B5EF4-FFF2-40B4-BE49-F238E27FC236}">
              <a16:creationId xmlns:a16="http://schemas.microsoft.com/office/drawing/2014/main" id="{0CD4DFD8-01F2-4258-A1B1-0E755E789D0F}"/>
            </a:ext>
          </a:extLst>
        </xdr:cNvPr>
        <xdr:cNvSpPr>
          <a:spLocks noChangeArrowheads="1"/>
        </xdr:cNvSpPr>
      </xdr:nvSpPr>
      <xdr:spPr bwMode="auto">
        <a:xfrm>
          <a:off x="9159873" y="14001925"/>
          <a:ext cx="1233714" cy="705363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ja-JP" sz="100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月別</a:t>
          </a:r>
          <a:r>
            <a:rPr lang="ja-JP" altLang="en-US" sz="100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法人</a:t>
          </a:r>
          <a:r>
            <a:rPr lang="ja-JP" altLang="ja-JP" sz="100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エネルギー</a:t>
          </a:r>
          <a:endParaRPr lang="en-US" altLang="ja-JP" sz="1000"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ja-JP" sz="100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集計情報</a:t>
          </a:r>
          <a:endParaRPr lang="ja-JP" altLang="ja-JP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 rtl="0">
            <a:lnSpc>
              <a:spcPct val="100000"/>
            </a:lnSpc>
            <a:defRPr sz="1000"/>
          </a:pP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37</xdr:col>
      <xdr:colOff>79373</xdr:colOff>
      <xdr:row>79</xdr:row>
      <xdr:rowOff>154388</xdr:rowOff>
    </xdr:from>
    <xdr:to>
      <xdr:col>41</xdr:col>
      <xdr:colOff>222248</xdr:colOff>
      <xdr:row>83</xdr:row>
      <xdr:rowOff>104555</xdr:rowOff>
    </xdr:to>
    <xdr:sp macro="" textlink="">
      <xdr:nvSpPr>
        <xdr:cNvPr id="21" name="AutoShape 140">
          <a:extLst>
            <a:ext uri="{FF2B5EF4-FFF2-40B4-BE49-F238E27FC236}">
              <a16:creationId xmlns:a16="http://schemas.microsoft.com/office/drawing/2014/main" id="{54E0A659-CFE5-43EF-9E13-342422A7F4A3}"/>
            </a:ext>
          </a:extLst>
        </xdr:cNvPr>
        <xdr:cNvSpPr>
          <a:spLocks noChangeArrowheads="1"/>
        </xdr:cNvSpPr>
      </xdr:nvSpPr>
      <xdr:spPr bwMode="auto">
        <a:xfrm>
          <a:off x="10393587" y="14033674"/>
          <a:ext cx="1231447" cy="657738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100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年度</a:t>
          </a:r>
          <a:r>
            <a:rPr lang="ja-JP" altLang="ja-JP" sz="100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別</a:t>
          </a:r>
          <a:r>
            <a:rPr lang="ja-JP" altLang="en-US" sz="100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法人</a:t>
          </a:r>
          <a:r>
            <a:rPr lang="ja-JP" altLang="ja-JP" sz="100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エネルギー</a:t>
          </a:r>
          <a:endParaRPr lang="en-US" altLang="ja-JP" sz="1000"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ja-JP" sz="1000"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集計情報</a:t>
          </a:r>
          <a:endParaRPr lang="ja-JP" altLang="ja-JP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 rtl="0">
            <a:lnSpc>
              <a:spcPct val="100000"/>
            </a:lnSpc>
            <a:defRPr sz="1000"/>
          </a:pP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317498</xdr:colOff>
      <xdr:row>83</xdr:row>
      <xdr:rowOff>11513</xdr:rowOff>
    </xdr:from>
    <xdr:to>
      <xdr:col>20</xdr:col>
      <xdr:colOff>32009</xdr:colOff>
      <xdr:row>86</xdr:row>
      <xdr:rowOff>141251</xdr:rowOff>
    </xdr:to>
    <xdr:sp macro="" textlink="">
      <xdr:nvSpPr>
        <xdr:cNvPr id="24" name="フローチャート: 処理 23">
          <a:extLst>
            <a:ext uri="{FF2B5EF4-FFF2-40B4-BE49-F238E27FC236}">
              <a16:creationId xmlns:a16="http://schemas.microsoft.com/office/drawing/2014/main" id="{5D978EA6-83C6-4B0F-B603-8C9B1BC36430}"/>
            </a:ext>
          </a:extLst>
        </xdr:cNvPr>
        <xdr:cNvSpPr/>
      </xdr:nvSpPr>
      <xdr:spPr>
        <a:xfrm>
          <a:off x="1950355" y="14598370"/>
          <a:ext cx="3769440" cy="660417"/>
        </a:xfrm>
        <a:prstGeom prst="flowChartProcess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en-US" altLang="ja-JP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8</a:t>
          </a:r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．法人番号、引継元組織</a:t>
          </a:r>
          <a:r>
            <a:rPr kumimoji="1" lang="en-US" altLang="ja-JP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ID</a:t>
          </a:r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存在チェック</a:t>
          </a:r>
        </a:p>
      </xdr:txBody>
    </xdr:sp>
    <xdr:clientData/>
  </xdr:twoCellAnchor>
  <xdr:twoCellAnchor>
    <xdr:from>
      <xdr:col>23</xdr:col>
      <xdr:colOff>256266</xdr:colOff>
      <xdr:row>84</xdr:row>
      <xdr:rowOff>52335</xdr:rowOff>
    </xdr:from>
    <xdr:to>
      <xdr:col>28</xdr:col>
      <xdr:colOff>126997</xdr:colOff>
      <xdr:row>88</xdr:row>
      <xdr:rowOff>234</xdr:rowOff>
    </xdr:to>
    <xdr:sp macro="" textlink="">
      <xdr:nvSpPr>
        <xdr:cNvPr id="26" name="AutoShape 140">
          <a:extLst>
            <a:ext uri="{FF2B5EF4-FFF2-40B4-BE49-F238E27FC236}">
              <a16:creationId xmlns:a16="http://schemas.microsoft.com/office/drawing/2014/main" id="{7EFB83AF-12A8-47D8-AFC7-2EAE69607D1D}"/>
            </a:ext>
          </a:extLst>
        </xdr:cNvPr>
        <xdr:cNvSpPr>
          <a:spLocks noChangeArrowheads="1"/>
        </xdr:cNvSpPr>
      </xdr:nvSpPr>
      <xdr:spPr bwMode="auto">
        <a:xfrm>
          <a:off x="6760480" y="14816085"/>
          <a:ext cx="1231446" cy="655470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レポート格納情報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32009</xdr:colOff>
      <xdr:row>84</xdr:row>
      <xdr:rowOff>163285</xdr:rowOff>
    </xdr:from>
    <xdr:to>
      <xdr:col>23</xdr:col>
      <xdr:colOff>149679</xdr:colOff>
      <xdr:row>84</xdr:row>
      <xdr:rowOff>164828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0C51E69F-11EF-4C9A-8F1D-3AA71C939189}"/>
            </a:ext>
          </a:extLst>
        </xdr:cNvPr>
        <xdr:cNvCxnSpPr>
          <a:cxnSpLocks/>
          <a:endCxn id="24" idx="3"/>
        </xdr:cNvCxnSpPr>
      </xdr:nvCxnSpPr>
      <xdr:spPr>
        <a:xfrm flipH="1">
          <a:off x="5719795" y="11742964"/>
          <a:ext cx="934098" cy="1543"/>
        </a:xfrm>
        <a:prstGeom prst="straightConnector1">
          <a:avLst/>
        </a:prstGeom>
        <a:ln w="41275">
          <a:solidFill>
            <a:srgbClr val="002060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232452</xdr:colOff>
      <xdr:row>93</xdr:row>
      <xdr:rowOff>6804</xdr:rowOff>
    </xdr:from>
    <xdr:to>
      <xdr:col>14</xdr:col>
      <xdr:colOff>272133</xdr:colOff>
      <xdr:row>98</xdr:row>
      <xdr:rowOff>149677</xdr:rowOff>
    </xdr:to>
    <xdr:cxnSp macro="">
      <xdr:nvCxnSpPr>
        <xdr:cNvPr id="35" name="コネクタ: カギ線 34">
          <a:extLst>
            <a:ext uri="{FF2B5EF4-FFF2-40B4-BE49-F238E27FC236}">
              <a16:creationId xmlns:a16="http://schemas.microsoft.com/office/drawing/2014/main" id="{FDDB2694-BDEE-3F58-4EEE-9359D50864E0}"/>
            </a:ext>
          </a:extLst>
        </xdr:cNvPr>
        <xdr:cNvCxnSpPr>
          <a:stCxn id="2" idx="1"/>
        </xdr:cNvCxnSpPr>
      </xdr:nvCxnSpPr>
      <xdr:spPr>
        <a:xfrm rot="10800000" flipH="1" flipV="1">
          <a:off x="2382381" y="15478125"/>
          <a:ext cx="1944681" cy="1027338"/>
        </a:xfrm>
        <a:prstGeom prst="bentConnector3">
          <a:avLst>
            <a:gd name="adj1" fmla="val -11755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81643</xdr:colOff>
      <xdr:row>97</xdr:row>
      <xdr:rowOff>54428</xdr:rowOff>
    </xdr:from>
    <xdr:to>
      <xdr:col>22</xdr:col>
      <xdr:colOff>106590</xdr:colOff>
      <xdr:row>101</xdr:row>
      <xdr:rowOff>142873</xdr:rowOff>
    </xdr:to>
    <xdr:sp macro="" textlink="">
      <xdr:nvSpPr>
        <xdr:cNvPr id="56" name="フローチャート: 処理 55">
          <a:extLst>
            <a:ext uri="{FF2B5EF4-FFF2-40B4-BE49-F238E27FC236}">
              <a16:creationId xmlns:a16="http://schemas.microsoft.com/office/drawing/2014/main" id="{028EB1E0-469F-4A93-ADBB-535FFB7406C4}"/>
            </a:ext>
          </a:extLst>
        </xdr:cNvPr>
        <xdr:cNvSpPr/>
      </xdr:nvSpPr>
      <xdr:spPr>
        <a:xfrm>
          <a:off x="4408714" y="13933714"/>
          <a:ext cx="1929947" cy="796016"/>
        </a:xfrm>
        <a:prstGeom prst="flowChartProcess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kumimoji="1" lang="en-US" altLang="ja-JP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12.</a:t>
          </a:r>
          <a:r>
            <a:rPr kumimoji="1" lang="en-US" altLang="ja-JP" sz="1100" baseline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</a:t>
          </a:r>
          <a:r>
            <a:rPr kumimoji="1" lang="ja-JP" altLang="en-US" sz="1100" baseline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エラー発生へ</a:t>
          </a:r>
          <a:endParaRPr kumimoji="1" lang="en-US" altLang="ja-JP" sz="1100" baseline="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indent="0" algn="l"/>
          <a:r>
            <a:rPr kumimoji="1" lang="ja-JP" altLang="en-US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この場合ロールバックは行わない</a:t>
          </a:r>
        </a:p>
      </xdr:txBody>
    </xdr:sp>
    <xdr:clientData/>
  </xdr:twoCellAnchor>
  <xdr:twoCellAnchor>
    <xdr:from>
      <xdr:col>6</xdr:col>
      <xdr:colOff>301625</xdr:colOff>
      <xdr:row>51</xdr:row>
      <xdr:rowOff>142875</xdr:rowOff>
    </xdr:from>
    <xdr:to>
      <xdr:col>20</xdr:col>
      <xdr:colOff>16136</xdr:colOff>
      <xdr:row>55</xdr:row>
      <xdr:rowOff>100789</xdr:rowOff>
    </xdr:to>
    <xdr:sp macro="" textlink="">
      <xdr:nvSpPr>
        <xdr:cNvPr id="30" name="フローチャート: 処理 29">
          <a:extLst>
            <a:ext uri="{FF2B5EF4-FFF2-40B4-BE49-F238E27FC236}">
              <a16:creationId xmlns:a16="http://schemas.microsoft.com/office/drawing/2014/main" id="{CC845043-BF4A-47AC-8E6B-4F99C0F1BF62}"/>
            </a:ext>
          </a:extLst>
        </xdr:cNvPr>
        <xdr:cNvSpPr/>
      </xdr:nvSpPr>
      <xdr:spPr>
        <a:xfrm>
          <a:off x="1934482" y="21982339"/>
          <a:ext cx="3769440" cy="665486"/>
        </a:xfrm>
        <a:prstGeom prst="flowChartProcess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．</a:t>
          </a:r>
          <a:r>
            <a:rPr kumimoji="1" lang="en-US" altLang="ja-JP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5. </a:t>
          </a:r>
          <a:r>
            <a:rPr kumimoji="1" lang="ja-JP" altLang="en-US" sz="10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引継情報削除</a:t>
          </a:r>
        </a:p>
      </xdr:txBody>
    </xdr:sp>
    <xdr:clientData/>
  </xdr:twoCellAnchor>
  <xdr:twoCellAnchor>
    <xdr:from>
      <xdr:col>20</xdr:col>
      <xdr:colOff>16136</xdr:colOff>
      <xdr:row>53</xdr:row>
      <xdr:rowOff>121832</xdr:rowOff>
    </xdr:from>
    <xdr:to>
      <xdr:col>23</xdr:col>
      <xdr:colOff>181442</xdr:colOff>
      <xdr:row>53</xdr:row>
      <xdr:rowOff>128374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463DC445-37A5-418C-9934-C1A6A5E3285E}"/>
            </a:ext>
          </a:extLst>
        </xdr:cNvPr>
        <xdr:cNvCxnSpPr>
          <a:cxnSpLocks/>
          <a:stCxn id="30" idx="3"/>
          <a:endCxn id="33" idx="2"/>
        </xdr:cNvCxnSpPr>
      </xdr:nvCxnSpPr>
      <xdr:spPr>
        <a:xfrm>
          <a:off x="5703922" y="22315082"/>
          <a:ext cx="981734" cy="6542"/>
        </a:xfrm>
        <a:prstGeom prst="straightConnector1">
          <a:avLst/>
        </a:prstGeom>
        <a:ln w="41275">
          <a:solidFill>
            <a:srgbClr val="002060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181442</xdr:colOff>
      <xdr:row>51</xdr:row>
      <xdr:rowOff>153290</xdr:rowOff>
    </xdr:from>
    <xdr:to>
      <xdr:col>27</xdr:col>
      <xdr:colOff>18501</xdr:colOff>
      <xdr:row>55</xdr:row>
      <xdr:rowOff>103457</xdr:rowOff>
    </xdr:to>
    <xdr:sp macro="" textlink="">
      <xdr:nvSpPr>
        <xdr:cNvPr id="33" name="AutoShape 140">
          <a:extLst>
            <a:ext uri="{FF2B5EF4-FFF2-40B4-BE49-F238E27FC236}">
              <a16:creationId xmlns:a16="http://schemas.microsoft.com/office/drawing/2014/main" id="{22E12A96-1813-43E9-9BCB-9FB47DCC37C4}"/>
            </a:ext>
          </a:extLst>
        </xdr:cNvPr>
        <xdr:cNvSpPr>
          <a:spLocks noChangeArrowheads="1"/>
        </xdr:cNvSpPr>
      </xdr:nvSpPr>
      <xdr:spPr bwMode="auto">
        <a:xfrm>
          <a:off x="6685656" y="21992754"/>
          <a:ext cx="925631" cy="657739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営業担当引継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情報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40822</xdr:colOff>
      <xdr:row>56</xdr:row>
      <xdr:rowOff>163284</xdr:rowOff>
    </xdr:from>
    <xdr:to>
      <xdr:col>29</xdr:col>
      <xdr:colOff>122465</xdr:colOff>
      <xdr:row>57</xdr:row>
      <xdr:rowOff>0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76B3952D-CA44-4850-945A-A9F1E0516AA2}"/>
            </a:ext>
          </a:extLst>
        </xdr:cNvPr>
        <xdr:cNvCxnSpPr>
          <a:cxnSpLocks/>
        </xdr:cNvCxnSpPr>
      </xdr:nvCxnSpPr>
      <xdr:spPr>
        <a:xfrm>
          <a:off x="3823608" y="22887213"/>
          <a:ext cx="4435928" cy="13608"/>
        </a:xfrm>
        <a:prstGeom prst="straightConnector1">
          <a:avLst/>
        </a:prstGeom>
        <a:ln w="41275">
          <a:solidFill>
            <a:schemeClr val="accent6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229054</xdr:colOff>
      <xdr:row>55</xdr:row>
      <xdr:rowOff>120196</xdr:rowOff>
    </xdr:from>
    <xdr:to>
      <xdr:col>36</xdr:col>
      <xdr:colOff>254001</xdr:colOff>
      <xdr:row>60</xdr:row>
      <xdr:rowOff>122465</xdr:rowOff>
    </xdr:to>
    <xdr:sp macro="" textlink="">
      <xdr:nvSpPr>
        <xdr:cNvPr id="38" name="フローチャート: 処理 37">
          <a:extLst>
            <a:ext uri="{FF2B5EF4-FFF2-40B4-BE49-F238E27FC236}">
              <a16:creationId xmlns:a16="http://schemas.microsoft.com/office/drawing/2014/main" id="{76806566-AC83-45E2-B859-D3466773F279}"/>
            </a:ext>
          </a:extLst>
        </xdr:cNvPr>
        <xdr:cNvSpPr/>
      </xdr:nvSpPr>
      <xdr:spPr>
        <a:xfrm>
          <a:off x="8366125" y="10284732"/>
          <a:ext cx="1929947" cy="886733"/>
        </a:xfrm>
        <a:prstGeom prst="flowChartProcess">
          <a:avLst/>
        </a:prstGeom>
        <a:noFill/>
        <a:ln w="952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kumimoji="1" lang="ja-JP" altLang="en-US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コミット</a:t>
          </a:r>
          <a:endParaRPr kumimoji="1" lang="en-US" altLang="ja-JP" sz="11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indent="0" algn="l"/>
          <a:r>
            <a:rPr kumimoji="1" lang="en-US" altLang="ja-JP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※</a:t>
          </a:r>
          <a:r>
            <a:rPr kumimoji="1" lang="ja-JP" altLang="en-US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エラー時はロールバック</a:t>
          </a:r>
          <a:endParaRPr kumimoji="1" lang="en-US" altLang="ja-JP" sz="110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indent="0" algn="l"/>
          <a:r>
            <a:rPr kumimoji="1" lang="en-US" altLang="ja-JP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※</a:t>
          </a:r>
          <a:r>
            <a:rPr kumimoji="1" lang="ja-JP" altLang="en-US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エラー内容はログに出力</a:t>
          </a:r>
        </a:p>
      </xdr:txBody>
    </xdr:sp>
    <xdr:clientData/>
  </xdr:twoCellAnchor>
  <xdr:twoCellAnchor>
    <xdr:from>
      <xdr:col>4</xdr:col>
      <xdr:colOff>13607</xdr:colOff>
      <xdr:row>59</xdr:row>
      <xdr:rowOff>54428</xdr:rowOff>
    </xdr:from>
    <xdr:to>
      <xdr:col>13</xdr:col>
      <xdr:colOff>174113</xdr:colOff>
      <xdr:row>68</xdr:row>
      <xdr:rowOff>95250</xdr:rowOff>
    </xdr:to>
    <xdr:sp macro="" textlink="">
      <xdr:nvSpPr>
        <xdr:cNvPr id="39" name="フローチャート: 判断 38">
          <a:extLst>
            <a:ext uri="{FF2B5EF4-FFF2-40B4-BE49-F238E27FC236}">
              <a16:creationId xmlns:a16="http://schemas.microsoft.com/office/drawing/2014/main" id="{2AA80E18-7962-4D25-8CEB-4209CC47CC01}"/>
            </a:ext>
          </a:extLst>
        </xdr:cNvPr>
        <xdr:cNvSpPr/>
      </xdr:nvSpPr>
      <xdr:spPr>
        <a:xfrm>
          <a:off x="1102178" y="10926535"/>
          <a:ext cx="2854721" cy="1632858"/>
        </a:xfrm>
        <a:prstGeom prst="flowChartDecision">
          <a:avLst/>
        </a:prstGeom>
        <a:solidFill>
          <a:schemeClr val="bg1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6.</a:t>
          </a:r>
          <a:r>
            <a:rPr kumimoji="1" lang="en-US" altLang="ja-JP" sz="100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ja-JP" altLang="en-US" sz="100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引継先担当者</a:t>
          </a:r>
          <a:r>
            <a:rPr kumimoji="1" lang="en-US" altLang="ja-JP" sz="100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100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endParaRPr kumimoji="1" lang="en-US" altLang="ja-JP" sz="1000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00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担当者情報マスタ</a:t>
          </a:r>
          <a:r>
            <a:rPr kumimoji="1" lang="en-US" altLang="ja-JP" sz="100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TBL</a:t>
          </a:r>
          <a:r>
            <a:rPr kumimoji="1" lang="ja-JP" altLang="en-US" sz="100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の担当者ユーザー</a:t>
          </a:r>
          <a:r>
            <a:rPr kumimoji="1" lang="en-US" altLang="ja-JP" sz="100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ID</a:t>
          </a:r>
          <a:r>
            <a:rPr kumimoji="1" lang="ja-JP" altLang="en-US" sz="100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に存在する</a:t>
          </a:r>
          <a:endParaRPr kumimoji="1" lang="en-US" altLang="ja-JP" sz="1000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68037</xdr:colOff>
      <xdr:row>61</xdr:row>
      <xdr:rowOff>163286</xdr:rowOff>
    </xdr:from>
    <xdr:to>
      <xdr:col>3</xdr:col>
      <xdr:colOff>158054</xdr:colOff>
      <xdr:row>63</xdr:row>
      <xdr:rowOff>104762</xdr:rowOff>
    </xdr:to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1D64BF19-0D0E-4692-AF79-BCD6B2F7E9D1}"/>
            </a:ext>
          </a:extLst>
        </xdr:cNvPr>
        <xdr:cNvSpPr txBox="1"/>
      </xdr:nvSpPr>
      <xdr:spPr>
        <a:xfrm>
          <a:off x="612323" y="11389179"/>
          <a:ext cx="362160" cy="2952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N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136071</xdr:colOff>
      <xdr:row>63</xdr:row>
      <xdr:rowOff>163285</xdr:rowOff>
    </xdr:from>
    <xdr:to>
      <xdr:col>4</xdr:col>
      <xdr:colOff>13607</xdr:colOff>
      <xdr:row>69</xdr:row>
      <xdr:rowOff>81640</xdr:rowOff>
    </xdr:to>
    <xdr:cxnSp macro="">
      <xdr:nvCxnSpPr>
        <xdr:cNvPr id="47" name="コネクタ: カギ線 46">
          <a:extLst>
            <a:ext uri="{FF2B5EF4-FFF2-40B4-BE49-F238E27FC236}">
              <a16:creationId xmlns:a16="http://schemas.microsoft.com/office/drawing/2014/main" id="{C9FB8733-D766-4005-89A8-B40A77BAADD6}"/>
            </a:ext>
          </a:extLst>
        </xdr:cNvPr>
        <xdr:cNvCxnSpPr>
          <a:stCxn id="39" idx="1"/>
        </xdr:cNvCxnSpPr>
      </xdr:nvCxnSpPr>
      <xdr:spPr>
        <a:xfrm rot="10800000" flipV="1">
          <a:off x="952500" y="11742964"/>
          <a:ext cx="149678" cy="97971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13607</xdr:colOff>
      <xdr:row>68</xdr:row>
      <xdr:rowOff>68036</xdr:rowOff>
    </xdr:from>
    <xdr:to>
      <xdr:col>8</xdr:col>
      <xdr:colOff>65769</xdr:colOff>
      <xdr:row>72</xdr:row>
      <xdr:rowOff>156481</xdr:rowOff>
    </xdr:to>
    <xdr:sp macro="" textlink="">
      <xdr:nvSpPr>
        <xdr:cNvPr id="48" name="フローチャート: 処理 47">
          <a:extLst>
            <a:ext uri="{FF2B5EF4-FFF2-40B4-BE49-F238E27FC236}">
              <a16:creationId xmlns:a16="http://schemas.microsoft.com/office/drawing/2014/main" id="{7250F0AE-4E15-490D-8065-5F97DFCA24BD}"/>
            </a:ext>
          </a:extLst>
        </xdr:cNvPr>
        <xdr:cNvSpPr/>
      </xdr:nvSpPr>
      <xdr:spPr>
        <a:xfrm>
          <a:off x="557893" y="12532179"/>
          <a:ext cx="1929947" cy="796016"/>
        </a:xfrm>
        <a:prstGeom prst="flowChartProcess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0" tIns="0" rIns="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kumimoji="1" lang="en-US" altLang="ja-JP" sz="110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14.</a:t>
          </a:r>
          <a:r>
            <a:rPr kumimoji="1" lang="en-US" altLang="ja-JP" sz="1100" baseline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</a:t>
          </a:r>
          <a:r>
            <a:rPr kumimoji="1" lang="ja-JP" altLang="en-US" sz="1100" baseline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終了へ</a:t>
          </a:r>
          <a:endParaRPr kumimoji="1" lang="en-US" altLang="ja-JP" sz="1100" baseline="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8</xdr:col>
      <xdr:colOff>163286</xdr:colOff>
      <xdr:row>68</xdr:row>
      <xdr:rowOff>13607</xdr:rowOff>
    </xdr:from>
    <xdr:to>
      <xdr:col>10</xdr:col>
      <xdr:colOff>33657</xdr:colOff>
      <xdr:row>69</xdr:row>
      <xdr:rowOff>129567</xdr:rowOff>
    </xdr:to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id="{B45F9D45-43FE-4F5E-93F4-405EB7FF9845}"/>
            </a:ext>
          </a:extLst>
        </xdr:cNvPr>
        <xdr:cNvSpPr txBox="1"/>
      </xdr:nvSpPr>
      <xdr:spPr>
        <a:xfrm>
          <a:off x="2585357" y="12477750"/>
          <a:ext cx="414657" cy="2928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200">
              <a:latin typeface="Meiryo UI" panose="020B0604030504040204" pitchFamily="50" charset="-128"/>
              <a:ea typeface="Meiryo UI" panose="020B0604030504040204" pitchFamily="50" charset="-128"/>
            </a:rPr>
            <a:t>Y</a:t>
          </a:r>
          <a:endParaRPr kumimoji="1" lang="ja-JP" altLang="en-US" sz="12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239366</xdr:colOff>
      <xdr:row>36</xdr:row>
      <xdr:rowOff>103188</xdr:rowOff>
    </xdr:from>
    <xdr:to>
      <xdr:col>8</xdr:col>
      <xdr:colOff>107467</xdr:colOff>
      <xdr:row>59</xdr:row>
      <xdr:rowOff>54428</xdr:rowOff>
    </xdr:to>
    <xdr:cxnSp macro="">
      <xdr:nvCxnSpPr>
        <xdr:cNvPr id="50" name="コネクタ: カギ線 49">
          <a:extLst>
            <a:ext uri="{FF2B5EF4-FFF2-40B4-BE49-F238E27FC236}">
              <a16:creationId xmlns:a16="http://schemas.microsoft.com/office/drawing/2014/main" id="{3CDAE3C4-D6DB-4B0F-9711-166AF041CC5F}"/>
            </a:ext>
          </a:extLst>
        </xdr:cNvPr>
        <xdr:cNvCxnSpPr>
          <a:cxnSpLocks/>
          <a:stCxn id="22" idx="1"/>
          <a:endCxn id="39" idx="0"/>
        </xdr:cNvCxnSpPr>
      </xdr:nvCxnSpPr>
      <xdr:spPr>
        <a:xfrm rot="10800000" flipH="1" flipV="1">
          <a:off x="2389295" y="6879545"/>
          <a:ext cx="140243" cy="4046990"/>
        </a:xfrm>
        <a:prstGeom prst="bentConnector4">
          <a:avLst>
            <a:gd name="adj1" fmla="val -628724"/>
            <a:gd name="adj2" fmla="val 90445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107468</xdr:colOff>
      <xdr:row>68</xdr:row>
      <xdr:rowOff>95250</xdr:rowOff>
    </xdr:from>
    <xdr:to>
      <xdr:col>13</xdr:col>
      <xdr:colOff>26957</xdr:colOff>
      <xdr:row>72</xdr:row>
      <xdr:rowOff>15875</xdr:rowOff>
    </xdr:to>
    <xdr:cxnSp macro="">
      <xdr:nvCxnSpPr>
        <xdr:cNvPr id="70" name="コネクタ: カギ線 69">
          <a:extLst>
            <a:ext uri="{FF2B5EF4-FFF2-40B4-BE49-F238E27FC236}">
              <a16:creationId xmlns:a16="http://schemas.microsoft.com/office/drawing/2014/main" id="{35564132-C4FA-4804-8C10-004F3606BB15}"/>
            </a:ext>
          </a:extLst>
        </xdr:cNvPr>
        <xdr:cNvCxnSpPr>
          <a:stCxn id="39" idx="2"/>
          <a:endCxn id="216" idx="0"/>
        </xdr:cNvCxnSpPr>
      </xdr:nvCxnSpPr>
      <xdr:spPr>
        <a:xfrm rot="16200000" flipH="1">
          <a:off x="2855543" y="12233389"/>
          <a:ext cx="628196" cy="1280204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174113</xdr:colOff>
      <xdr:row>63</xdr:row>
      <xdr:rowOff>163285</xdr:rowOff>
    </xdr:from>
    <xdr:to>
      <xdr:col>23</xdr:col>
      <xdr:colOff>165304</xdr:colOff>
      <xdr:row>64</xdr:row>
      <xdr:rowOff>14773</xdr:rowOff>
    </xdr:to>
    <xdr:cxnSp macro="">
      <xdr:nvCxnSpPr>
        <xdr:cNvPr id="109" name="直線矢印コネクタ 108">
          <a:extLst>
            <a:ext uri="{FF2B5EF4-FFF2-40B4-BE49-F238E27FC236}">
              <a16:creationId xmlns:a16="http://schemas.microsoft.com/office/drawing/2014/main" id="{61DAC28D-1023-48D5-B53E-21B2778F4EBB}"/>
            </a:ext>
          </a:extLst>
        </xdr:cNvPr>
        <xdr:cNvCxnSpPr>
          <a:cxnSpLocks/>
          <a:stCxn id="110" idx="2"/>
          <a:endCxn id="39" idx="3"/>
        </xdr:cNvCxnSpPr>
      </xdr:nvCxnSpPr>
      <xdr:spPr>
        <a:xfrm flipH="1" flipV="1">
          <a:off x="3956899" y="11742964"/>
          <a:ext cx="2712619" cy="28380"/>
        </a:xfrm>
        <a:prstGeom prst="straightConnector1">
          <a:avLst/>
        </a:prstGeom>
        <a:ln w="41275">
          <a:solidFill>
            <a:srgbClr val="002060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165304</xdr:colOff>
      <xdr:row>62</xdr:row>
      <xdr:rowOff>40822</xdr:rowOff>
    </xdr:from>
    <xdr:to>
      <xdr:col>27</xdr:col>
      <xdr:colOff>2363</xdr:colOff>
      <xdr:row>65</xdr:row>
      <xdr:rowOff>165615</xdr:rowOff>
    </xdr:to>
    <xdr:sp macro="" textlink="">
      <xdr:nvSpPr>
        <xdr:cNvPr id="110" name="AutoShape 140">
          <a:extLst>
            <a:ext uri="{FF2B5EF4-FFF2-40B4-BE49-F238E27FC236}">
              <a16:creationId xmlns:a16="http://schemas.microsoft.com/office/drawing/2014/main" id="{E2C87379-7DE2-41A6-88AD-287E20CEEC7B}"/>
            </a:ext>
          </a:extLst>
        </xdr:cNvPr>
        <xdr:cNvSpPr>
          <a:spLocks noChangeArrowheads="1"/>
        </xdr:cNvSpPr>
      </xdr:nvSpPr>
      <xdr:spPr bwMode="auto">
        <a:xfrm>
          <a:off x="6669518" y="11443608"/>
          <a:ext cx="925631" cy="655471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担当者情報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マスタ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18</xdr:col>
      <xdr:colOff>100517</xdr:colOff>
      <xdr:row>36</xdr:row>
      <xdr:rowOff>103188</xdr:rowOff>
    </xdr:from>
    <xdr:to>
      <xdr:col>23</xdr:col>
      <xdr:colOff>195298</xdr:colOff>
      <xdr:row>36</xdr:row>
      <xdr:rowOff>123629</xdr:rowOff>
    </xdr:to>
    <xdr:cxnSp macro="">
      <xdr:nvCxnSpPr>
        <xdr:cNvPr id="117" name="直線矢印コネクタ 116">
          <a:extLst>
            <a:ext uri="{FF2B5EF4-FFF2-40B4-BE49-F238E27FC236}">
              <a16:creationId xmlns:a16="http://schemas.microsoft.com/office/drawing/2014/main" id="{485D0FBC-821A-475C-B282-FD2240B8E210}"/>
            </a:ext>
          </a:extLst>
        </xdr:cNvPr>
        <xdr:cNvCxnSpPr>
          <a:cxnSpLocks/>
          <a:stCxn id="118" idx="2"/>
          <a:endCxn id="22" idx="3"/>
        </xdr:cNvCxnSpPr>
      </xdr:nvCxnSpPr>
      <xdr:spPr>
        <a:xfrm flipH="1" flipV="1">
          <a:off x="5244017" y="6879545"/>
          <a:ext cx="1455495" cy="20441"/>
        </a:xfrm>
        <a:prstGeom prst="straightConnector1">
          <a:avLst/>
        </a:prstGeom>
        <a:ln w="41275">
          <a:solidFill>
            <a:srgbClr val="002060"/>
          </a:solidFill>
          <a:headEnd type="oval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195298</xdr:colOff>
      <xdr:row>34</xdr:row>
      <xdr:rowOff>149679</xdr:rowOff>
    </xdr:from>
    <xdr:to>
      <xdr:col>27</xdr:col>
      <xdr:colOff>32357</xdr:colOff>
      <xdr:row>38</xdr:row>
      <xdr:rowOff>97578</xdr:rowOff>
    </xdr:to>
    <xdr:sp macro="" textlink="">
      <xdr:nvSpPr>
        <xdr:cNvPr id="118" name="AutoShape 140">
          <a:extLst>
            <a:ext uri="{FF2B5EF4-FFF2-40B4-BE49-F238E27FC236}">
              <a16:creationId xmlns:a16="http://schemas.microsoft.com/office/drawing/2014/main" id="{FC107EC2-771A-4F4A-994F-9E85929210DA}"/>
            </a:ext>
          </a:extLst>
        </xdr:cNvPr>
        <xdr:cNvSpPr>
          <a:spLocks noChangeArrowheads="1"/>
        </xdr:cNvSpPr>
      </xdr:nvSpPr>
      <xdr:spPr bwMode="auto">
        <a:xfrm>
          <a:off x="6699512" y="6572250"/>
          <a:ext cx="925631" cy="655471"/>
        </a:xfrm>
        <a:prstGeom prst="flowChartMagneticDisk">
          <a:avLst/>
        </a:prstGeom>
        <a:solidFill>
          <a:schemeClr val="bg1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overflow" horzOverflow="overflow" wrap="none" lIns="0" tIns="0" rIns="0" bIns="0" anchor="t" upright="1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担当者情報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 rtl="0">
            <a:lnSpc>
              <a:spcPct val="100000"/>
            </a:lnSpc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マスタ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8467</xdr:colOff>
      <xdr:row>0</xdr:row>
      <xdr:rowOff>16934</xdr:rowOff>
    </xdr:from>
    <xdr:to>
      <xdr:col>2</xdr:col>
      <xdr:colOff>864203</xdr:colOff>
      <xdr:row>1</xdr:row>
      <xdr:rowOff>39512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629372D-8D51-43AA-BC4D-B21C7D767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67" y="16934"/>
          <a:ext cx="3579886" cy="20355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32657</xdr:colOff>
      <xdr:row>0</xdr:row>
      <xdr:rowOff>43542</xdr:rowOff>
    </xdr:from>
    <xdr:to>
      <xdr:col>22</xdr:col>
      <xdr:colOff>99261</xdr:colOff>
      <xdr:row>1</xdr:row>
      <xdr:rowOff>23787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E3166A1-63E1-4A41-AE5C-63CD6F51F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57" y="43542"/>
          <a:ext cx="3628954" cy="218370"/>
        </a:xfrm>
        <a:prstGeom prst="rect">
          <a:avLst/>
        </a:prstGeom>
      </xdr:spPr>
    </xdr:pic>
    <xdr:clientData/>
  </xdr:twoCellAnchor>
  <xdr:twoCellAnchor>
    <xdr:from>
      <xdr:col>0</xdr:col>
      <xdr:colOff>52917</xdr:colOff>
      <xdr:row>4</xdr:row>
      <xdr:rowOff>78621</xdr:rowOff>
    </xdr:from>
    <xdr:to>
      <xdr:col>99</xdr:col>
      <xdr:colOff>272143</xdr:colOff>
      <xdr:row>35</xdr:row>
      <xdr:rowOff>136072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90E0DDBB-CCF7-464E-BE8F-A3F92A1A5169}"/>
            </a:ext>
          </a:extLst>
        </xdr:cNvPr>
        <xdr:cNvSpPr/>
      </xdr:nvSpPr>
      <xdr:spPr>
        <a:xfrm>
          <a:off x="52917" y="854228"/>
          <a:ext cx="16384512" cy="588130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/>
            <a:t>入力項目チェックなし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1273104</xdr:colOff>
      <xdr:row>1</xdr:row>
      <xdr:rowOff>23637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5D014C4-C169-4812-A4C2-4F5133FF2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559104" cy="2236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CEBF5-DF82-46E0-A3EC-D35CC9CA8C99}">
  <dimension ref="A4:N33"/>
  <sheetViews>
    <sheetView showGridLines="0" view="pageBreakPreview" zoomScale="85" zoomScaleNormal="85" zoomScaleSheetLayoutView="85" workbookViewId="0"/>
  </sheetViews>
  <sheetFormatPr defaultRowHeight="18.75"/>
  <sheetData>
    <row r="4" spans="2:14" ht="18" customHeight="1">
      <c r="B4" s="178" t="s">
        <v>69</v>
      </c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75"/>
    </row>
    <row r="5" spans="2:14" ht="18" customHeight="1">
      <c r="B5" s="178"/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75"/>
    </row>
    <row r="6" spans="2:14" ht="18" customHeight="1"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75"/>
    </row>
    <row r="7" spans="2:14" ht="18" customHeight="1">
      <c r="B7" s="179" t="str">
        <f>更新履歴!K5&amp;CHAR(10) &amp;更新履歴!K6</f>
        <v xml:space="preserve">担当者引継ぎ実行
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77"/>
    </row>
    <row r="8" spans="2:14" ht="18" customHeight="1">
      <c r="B8" s="179"/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77"/>
    </row>
    <row r="9" spans="2:14" ht="18" customHeight="1">
      <c r="B9" s="179"/>
      <c r="C9" s="179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77"/>
    </row>
    <row r="10" spans="2:14" ht="18" customHeight="1">
      <c r="B10" s="179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77"/>
    </row>
    <row r="11" spans="2:14" ht="18" customHeight="1">
      <c r="B11" s="179"/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77"/>
    </row>
    <row r="12" spans="2:14" ht="18" customHeight="1">
      <c r="B12" s="179"/>
      <c r="C12" s="179"/>
      <c r="D12" s="179"/>
      <c r="E12" s="179"/>
      <c r="F12" s="179"/>
      <c r="G12" s="179"/>
      <c r="H12" s="179"/>
      <c r="I12" s="179"/>
      <c r="J12" s="179"/>
      <c r="K12" s="179"/>
      <c r="L12" s="179"/>
      <c r="M12" s="179"/>
      <c r="N12" s="77"/>
    </row>
    <row r="13" spans="2:14" ht="18" customHeight="1">
      <c r="B13" s="179"/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77"/>
    </row>
    <row r="14" spans="2:14" ht="18" customHeight="1">
      <c r="B14" s="179"/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77"/>
    </row>
    <row r="18" spans="1:14" ht="18" customHeight="1">
      <c r="B18" s="178" t="str">
        <f>更新履歴!K1</f>
        <v>CNレポート作成アプリ「LecMoc」</v>
      </c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  <c r="N18" s="75"/>
    </row>
    <row r="19" spans="1:14" ht="18" customHeight="1">
      <c r="B19" s="178"/>
      <c r="C19" s="178"/>
      <c r="D19" s="178"/>
      <c r="E19" s="178"/>
      <c r="F19" s="178"/>
      <c r="G19" s="178"/>
      <c r="H19" s="178"/>
      <c r="I19" s="178"/>
      <c r="J19" s="178"/>
      <c r="K19" s="178"/>
      <c r="L19" s="178"/>
      <c r="M19" s="178"/>
      <c r="N19" s="75"/>
    </row>
    <row r="20" spans="1:14" ht="18" customHeight="1">
      <c r="B20" s="178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  <c r="N20" s="75"/>
    </row>
    <row r="21" spans="1:14" ht="18" customHeight="1">
      <c r="B21" s="180" t="str">
        <f>更新履歴!K2</f>
        <v>2026.12.21</v>
      </c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  <c r="N21" s="76"/>
    </row>
    <row r="22" spans="1:14" ht="18" customHeight="1">
      <c r="B22" s="180"/>
      <c r="C22" s="180"/>
      <c r="D22" s="180"/>
      <c r="E22" s="180"/>
      <c r="F22" s="180"/>
      <c r="G22" s="180"/>
      <c r="H22" s="180"/>
      <c r="I22" s="180"/>
      <c r="J22" s="180"/>
      <c r="K22" s="180"/>
      <c r="L22" s="180"/>
      <c r="M22" s="180"/>
      <c r="N22" s="76"/>
    </row>
    <row r="23" spans="1:14">
      <c r="A23" t="s">
        <v>70</v>
      </c>
    </row>
    <row r="24" spans="1:14">
      <c r="A24" t="s">
        <v>71</v>
      </c>
      <c r="F24" t="s">
        <v>72</v>
      </c>
    </row>
    <row r="25" spans="1:14">
      <c r="A25" t="s">
        <v>73</v>
      </c>
      <c r="F25" t="s">
        <v>74</v>
      </c>
    </row>
    <row r="27" spans="1:14">
      <c r="A27" t="s">
        <v>75</v>
      </c>
    </row>
    <row r="28" spans="1:14">
      <c r="A28" t="s">
        <v>76</v>
      </c>
      <c r="F28" t="s">
        <v>72</v>
      </c>
    </row>
    <row r="29" spans="1:14">
      <c r="A29" t="s">
        <v>77</v>
      </c>
      <c r="F29" t="s">
        <v>72</v>
      </c>
    </row>
    <row r="30" spans="1:14">
      <c r="A30" t="s">
        <v>78</v>
      </c>
      <c r="F30" t="s">
        <v>72</v>
      </c>
    </row>
    <row r="31" spans="1:14">
      <c r="A31" t="s">
        <v>79</v>
      </c>
      <c r="F31" t="s">
        <v>80</v>
      </c>
    </row>
    <row r="32" spans="1:14">
      <c r="A32" t="s">
        <v>81</v>
      </c>
      <c r="F32" t="s">
        <v>82</v>
      </c>
    </row>
    <row r="33" spans="1:6">
      <c r="A33" t="s">
        <v>83</v>
      </c>
      <c r="F33" t="s">
        <v>84</v>
      </c>
    </row>
  </sheetData>
  <mergeCells count="4">
    <mergeCell ref="B4:M6"/>
    <mergeCell ref="B7:M14"/>
    <mergeCell ref="B18:M20"/>
    <mergeCell ref="B21:M22"/>
  </mergeCells>
  <phoneticPr fontId="3"/>
  <pageMargins left="0.7" right="0.7" top="0.75" bottom="0.75" header="0.3" footer="0.3"/>
  <pageSetup paperSize="9" scale="9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35471-1880-44B5-A4C8-B3AA4D35F076}">
  <sheetPr>
    <pageSetUpPr fitToPage="1"/>
  </sheetPr>
  <dimension ref="A1:V12"/>
  <sheetViews>
    <sheetView showGridLines="0" view="pageBreakPreview" zoomScaleNormal="85" zoomScaleSheetLayoutView="100" workbookViewId="0">
      <selection activeCell="B3" sqref="B3:C3"/>
    </sheetView>
  </sheetViews>
  <sheetFormatPr defaultRowHeight="18.75"/>
  <cols>
    <col min="1" max="1" width="5.125" customWidth="1"/>
    <col min="2" max="9" width="13" customWidth="1"/>
    <col min="11" max="11" width="17.375" customWidth="1"/>
    <col min="14" max="14" width="11.375" customWidth="1"/>
  </cols>
  <sheetData>
    <row r="1" spans="1:22" s="5" customFormat="1" ht="15.75">
      <c r="A1" s="183" t="str">
        <f>K4</f>
        <v>[バッチ設計]</v>
      </c>
      <c r="B1" s="184"/>
      <c r="C1" s="48" t="str">
        <f>K8</f>
        <v>担当者引継ぎ実行</v>
      </c>
      <c r="D1" s="48"/>
      <c r="E1" s="48"/>
      <c r="F1" s="49" t="s">
        <v>0</v>
      </c>
      <c r="G1" s="185" t="str">
        <f>K1</f>
        <v>CNレポート作成アプリ「LecMoc」</v>
      </c>
      <c r="H1" s="185"/>
      <c r="I1" s="185"/>
      <c r="J1" s="6" t="s">
        <v>85</v>
      </c>
      <c r="K1" s="6" t="s">
        <v>52</v>
      </c>
      <c r="L1" s="6"/>
      <c r="M1" s="6"/>
      <c r="N1" s="6"/>
      <c r="O1" s="186"/>
      <c r="P1" s="186"/>
      <c r="Q1" s="186"/>
      <c r="R1" s="186"/>
      <c r="S1" s="186"/>
      <c r="T1" s="186"/>
      <c r="U1" s="1"/>
      <c r="V1" s="8"/>
    </row>
    <row r="2" spans="1:22" s="12" customFormat="1" ht="15.75">
      <c r="A2" s="9" t="s">
        <v>1</v>
      </c>
      <c r="B2" s="187" t="s">
        <v>2</v>
      </c>
      <c r="C2" s="188"/>
      <c r="D2" s="10" t="s">
        <v>3</v>
      </c>
      <c r="E2" s="10" t="s">
        <v>4</v>
      </c>
      <c r="F2" s="9" t="s">
        <v>5</v>
      </c>
      <c r="G2" s="9" t="s">
        <v>6</v>
      </c>
      <c r="H2" s="9" t="s">
        <v>86</v>
      </c>
      <c r="I2" s="11" t="s">
        <v>87</v>
      </c>
      <c r="J2" s="6" t="s">
        <v>88</v>
      </c>
      <c r="K2" s="6" t="s">
        <v>51</v>
      </c>
      <c r="L2" s="6"/>
      <c r="M2" s="6"/>
      <c r="N2" s="6"/>
      <c r="O2" s="186"/>
      <c r="P2" s="186"/>
      <c r="Q2" s="186"/>
      <c r="R2" s="186"/>
      <c r="S2" s="186"/>
      <c r="T2" s="186"/>
      <c r="U2" s="1"/>
      <c r="V2" s="8"/>
    </row>
    <row r="3" spans="1:22" s="6" customFormat="1" ht="49.7" customHeight="1">
      <c r="A3" s="13" t="s">
        <v>8</v>
      </c>
      <c r="B3" s="189" t="s">
        <v>96</v>
      </c>
      <c r="C3" s="182"/>
      <c r="D3" s="14" t="s">
        <v>89</v>
      </c>
      <c r="E3" s="14" t="s">
        <v>9</v>
      </c>
      <c r="F3" s="15">
        <v>46225</v>
      </c>
      <c r="G3" s="16" t="s">
        <v>27</v>
      </c>
      <c r="H3" s="15">
        <v>46234</v>
      </c>
      <c r="I3" s="16" t="s">
        <v>27</v>
      </c>
      <c r="L3" s="7"/>
      <c r="M3" s="1"/>
      <c r="N3" s="8"/>
      <c r="R3" s="7"/>
      <c r="S3" s="7"/>
      <c r="T3" s="7"/>
      <c r="U3" s="7"/>
      <c r="V3" s="7"/>
    </row>
    <row r="4" spans="1:22" s="6" customFormat="1" ht="15.75">
      <c r="A4" s="13"/>
      <c r="B4" s="181"/>
      <c r="C4" s="182"/>
      <c r="D4" s="14"/>
      <c r="E4" s="17"/>
      <c r="F4" s="15"/>
      <c r="G4" s="16"/>
      <c r="H4" s="15"/>
      <c r="I4" s="16"/>
      <c r="J4" s="6" t="s">
        <v>90</v>
      </c>
      <c r="K4" s="6" t="s">
        <v>91</v>
      </c>
      <c r="M4" s="1"/>
      <c r="N4" s="8"/>
    </row>
    <row r="5" spans="1:22" s="6" customFormat="1" ht="15.75">
      <c r="A5" s="13"/>
      <c r="B5" s="189"/>
      <c r="C5" s="182"/>
      <c r="D5" s="1"/>
      <c r="E5" s="17"/>
      <c r="F5" s="15"/>
      <c r="G5" s="16"/>
      <c r="H5" s="15"/>
      <c r="I5" s="16"/>
      <c r="J5" s="6" t="s">
        <v>92</v>
      </c>
      <c r="K5" s="6" t="s">
        <v>46</v>
      </c>
      <c r="M5" s="1"/>
      <c r="N5" s="8"/>
    </row>
    <row r="6" spans="1:22" s="6" customFormat="1" ht="15.75">
      <c r="A6" s="13"/>
      <c r="B6" s="181"/>
      <c r="C6" s="182"/>
      <c r="D6" s="18"/>
      <c r="E6" s="14"/>
      <c r="F6" s="15"/>
      <c r="G6" s="16"/>
      <c r="H6" s="15"/>
      <c r="I6" s="16"/>
      <c r="J6" s="6" t="s">
        <v>93</v>
      </c>
      <c r="M6" s="1"/>
      <c r="N6" s="8"/>
    </row>
    <row r="7" spans="1:22" s="6" customFormat="1" ht="15.75">
      <c r="A7" s="13"/>
      <c r="B7" s="189"/>
      <c r="C7" s="182"/>
      <c r="D7" s="18"/>
      <c r="E7" s="14"/>
      <c r="F7" s="15"/>
      <c r="G7" s="16"/>
      <c r="H7" s="15"/>
      <c r="I7" s="16"/>
      <c r="J7" s="6" t="s">
        <v>94</v>
      </c>
      <c r="K7" s="19" t="s">
        <v>50</v>
      </c>
      <c r="M7" s="1"/>
      <c r="N7" s="20"/>
    </row>
    <row r="8" spans="1:22" s="6" customFormat="1" ht="15.75">
      <c r="A8" s="13"/>
      <c r="B8" s="189"/>
      <c r="C8" s="182"/>
      <c r="D8" s="18"/>
      <c r="E8" s="18"/>
      <c r="F8" s="15"/>
      <c r="G8" s="16"/>
      <c r="H8" s="15"/>
      <c r="I8" s="16"/>
      <c r="J8" s="6" t="s">
        <v>95</v>
      </c>
      <c r="K8" s="6" t="str">
        <f>K5</f>
        <v>担当者引継ぎ実行</v>
      </c>
      <c r="M8" s="1"/>
      <c r="N8" s="20"/>
    </row>
    <row r="9" spans="1:22" s="6" customFormat="1" ht="15.75">
      <c r="A9" s="13"/>
      <c r="B9" s="189"/>
      <c r="C9" s="190"/>
      <c r="D9" s="21"/>
      <c r="E9" s="18"/>
      <c r="F9" s="15"/>
      <c r="G9" s="16"/>
      <c r="H9" s="15"/>
      <c r="I9" s="16"/>
      <c r="M9" s="1"/>
      <c r="N9" s="20"/>
    </row>
    <row r="10" spans="1:22" s="6" customFormat="1" ht="15.75">
      <c r="A10" s="22"/>
      <c r="B10" s="189"/>
      <c r="C10" s="182"/>
      <c r="D10" s="23"/>
      <c r="E10" s="24"/>
      <c r="F10" s="15"/>
      <c r="G10" s="16"/>
      <c r="H10" s="15"/>
      <c r="I10" s="16"/>
      <c r="U10" s="2"/>
      <c r="V10" s="2"/>
    </row>
    <row r="11" spans="1:22" s="6" customFormat="1" ht="15.75">
      <c r="A11" s="22"/>
      <c r="B11" s="189"/>
      <c r="C11" s="182"/>
      <c r="D11" s="23"/>
      <c r="E11" s="24"/>
      <c r="F11" s="15"/>
      <c r="G11" s="16"/>
      <c r="H11" s="15"/>
      <c r="I11" s="16"/>
      <c r="U11" s="2"/>
      <c r="V11" s="2"/>
    </row>
    <row r="12" spans="1:22" s="6" customFormat="1" ht="15.75">
      <c r="A12" s="25"/>
      <c r="B12" s="189"/>
      <c r="C12" s="182"/>
      <c r="D12" s="18"/>
      <c r="E12" s="14"/>
      <c r="F12" s="15"/>
      <c r="G12" s="16"/>
      <c r="H12" s="15"/>
      <c r="I12" s="16"/>
      <c r="U12" s="2"/>
      <c r="V12" s="2"/>
    </row>
  </sheetData>
  <mergeCells count="14">
    <mergeCell ref="B11:C11"/>
    <mergeCell ref="B12:C12"/>
    <mergeCell ref="B5:C5"/>
    <mergeCell ref="B6:C6"/>
    <mergeCell ref="B7:C7"/>
    <mergeCell ref="B8:C8"/>
    <mergeCell ref="B9:C9"/>
    <mergeCell ref="B10:C10"/>
    <mergeCell ref="B4:C4"/>
    <mergeCell ref="A1:B1"/>
    <mergeCell ref="G1:I1"/>
    <mergeCell ref="O1:T2"/>
    <mergeCell ref="B2:C2"/>
    <mergeCell ref="B3:C3"/>
  </mergeCells>
  <phoneticPr fontId="3"/>
  <pageMargins left="0.7" right="0.7" top="0.75" bottom="0.75" header="0.3" footer="0.3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3C844-F787-46F4-B467-A358DD350F63}">
  <sheetPr>
    <pageSetUpPr fitToPage="1"/>
  </sheetPr>
  <dimension ref="A1:BM42"/>
  <sheetViews>
    <sheetView showGridLines="0" view="pageBreakPreview" zoomScaleNormal="97" zoomScaleSheetLayoutView="100" workbookViewId="0"/>
  </sheetViews>
  <sheetFormatPr defaultColWidth="3.625" defaultRowHeight="18.75"/>
  <cols>
    <col min="7" max="7" width="6.75" customWidth="1"/>
  </cols>
  <sheetData>
    <row r="1" spans="1:65">
      <c r="A1" s="78"/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51" t="s">
        <v>51</v>
      </c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</row>
    <row r="2" spans="1:65" ht="19.5" thickBot="1">
      <c r="A2" s="78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  <c r="AQ2" s="78"/>
      <c r="AR2" s="78"/>
      <c r="AS2" s="78"/>
      <c r="AT2" s="78"/>
      <c r="AU2" s="78"/>
      <c r="AV2" s="78"/>
      <c r="AW2" s="78"/>
      <c r="AX2" s="78"/>
      <c r="AY2" s="78"/>
      <c r="AZ2" s="78"/>
    </row>
    <row r="3" spans="1:65" s="67" customFormat="1" ht="13.5" customHeight="1">
      <c r="A3" s="216" t="s">
        <v>28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6"/>
      <c r="U3" s="216"/>
      <c r="V3" s="216"/>
      <c r="W3" s="216"/>
      <c r="X3" s="216"/>
      <c r="Y3" s="216"/>
      <c r="Z3" s="216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135" t="s">
        <v>7</v>
      </c>
      <c r="AM3" s="136"/>
      <c r="AN3" s="136"/>
      <c r="AO3" s="136"/>
      <c r="AP3" s="136"/>
      <c r="AQ3" s="137"/>
      <c r="AR3" s="218" t="s">
        <v>52</v>
      </c>
      <c r="AS3" s="219"/>
      <c r="AT3" s="219"/>
      <c r="AU3" s="219"/>
      <c r="AV3" s="219"/>
      <c r="AW3" s="219"/>
      <c r="AX3" s="219"/>
      <c r="AY3" s="219"/>
      <c r="AZ3" s="220"/>
      <c r="BA3"/>
      <c r="BB3"/>
      <c r="BC3"/>
      <c r="BD3"/>
      <c r="BE3"/>
      <c r="BF3"/>
      <c r="BG3"/>
      <c r="BH3"/>
      <c r="BI3"/>
      <c r="BJ3"/>
      <c r="BK3"/>
      <c r="BL3"/>
      <c r="BM3"/>
    </row>
    <row r="4" spans="1:65" s="67" customFormat="1" ht="13.5" customHeight="1" thickBot="1">
      <c r="A4" s="217"/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138" t="s">
        <v>18</v>
      </c>
      <c r="AM4" s="139"/>
      <c r="AN4" s="139"/>
      <c r="AO4" s="139"/>
      <c r="AP4" s="139"/>
      <c r="AQ4" s="140"/>
      <c r="AR4" s="141" t="s">
        <v>29</v>
      </c>
      <c r="AS4" s="142"/>
      <c r="AT4" s="142"/>
      <c r="AU4" s="142"/>
      <c r="AV4" s="142"/>
      <c r="AW4" s="142"/>
      <c r="AX4" s="142"/>
      <c r="AY4" s="142"/>
      <c r="AZ4" s="143"/>
      <c r="BA4"/>
      <c r="BB4"/>
      <c r="BC4"/>
      <c r="BD4"/>
      <c r="BE4"/>
      <c r="BF4"/>
      <c r="BG4"/>
      <c r="BH4"/>
      <c r="BI4"/>
      <c r="BJ4"/>
      <c r="BK4"/>
      <c r="BL4"/>
      <c r="BM4"/>
    </row>
    <row r="5" spans="1:65" s="67" customFormat="1" ht="13.5" customHeight="1">
      <c r="A5" s="221" t="s">
        <v>49</v>
      </c>
      <c r="B5" s="222"/>
      <c r="C5" s="222"/>
      <c r="D5" s="222"/>
      <c r="E5" s="222"/>
      <c r="F5" s="223"/>
      <c r="G5" s="224" t="s">
        <v>44</v>
      </c>
      <c r="H5" s="225"/>
      <c r="I5" s="225"/>
      <c r="J5" s="225"/>
      <c r="K5" s="225"/>
      <c r="L5" s="225"/>
      <c r="M5" s="225"/>
      <c r="N5" s="226"/>
      <c r="O5" s="227" t="s">
        <v>30</v>
      </c>
      <c r="P5" s="228"/>
      <c r="Q5" s="228"/>
      <c r="R5" s="228"/>
      <c r="S5" s="228"/>
      <c r="T5" s="229"/>
      <c r="U5" s="230" t="s">
        <v>47</v>
      </c>
      <c r="V5" s="231"/>
      <c r="W5" s="231"/>
      <c r="X5" s="231"/>
      <c r="Y5" s="231"/>
      <c r="Z5" s="231"/>
      <c r="AA5" s="231"/>
      <c r="AB5" s="231"/>
      <c r="AC5" s="231"/>
      <c r="AD5" s="231"/>
      <c r="AE5" s="231"/>
      <c r="AF5" s="231"/>
      <c r="AG5" s="231"/>
      <c r="AH5" s="232"/>
      <c r="AI5" s="79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1"/>
      <c r="BA5"/>
      <c r="BB5"/>
      <c r="BC5"/>
      <c r="BD5"/>
      <c r="BE5"/>
      <c r="BF5"/>
      <c r="BG5"/>
      <c r="BH5"/>
      <c r="BI5"/>
      <c r="BJ5"/>
      <c r="BK5"/>
      <c r="BL5"/>
      <c r="BM5"/>
    </row>
    <row r="6" spans="1:65" s="67" customFormat="1" ht="13.5" customHeight="1">
      <c r="A6" s="199" t="s">
        <v>31</v>
      </c>
      <c r="B6" s="200"/>
      <c r="C6" s="200"/>
      <c r="D6" s="200"/>
      <c r="E6" s="200"/>
      <c r="F6" s="201"/>
      <c r="G6" s="202" t="s">
        <v>50</v>
      </c>
      <c r="H6" s="203"/>
      <c r="I6" s="203"/>
      <c r="J6" s="203"/>
      <c r="K6" s="203"/>
      <c r="L6" s="203"/>
      <c r="M6" s="203"/>
      <c r="N6" s="204"/>
      <c r="O6" s="205" t="s">
        <v>32</v>
      </c>
      <c r="P6" s="206"/>
      <c r="Q6" s="206"/>
      <c r="R6" s="206"/>
      <c r="S6" s="206"/>
      <c r="T6" s="207"/>
      <c r="U6" s="208" t="s">
        <v>48</v>
      </c>
      <c r="V6" s="209"/>
      <c r="W6" s="209"/>
      <c r="X6" s="209"/>
      <c r="Y6" s="209"/>
      <c r="Z6" s="209"/>
      <c r="AA6" s="209"/>
      <c r="AB6" s="209"/>
      <c r="AC6" s="209"/>
      <c r="AD6" s="209"/>
      <c r="AE6" s="209"/>
      <c r="AF6" s="209"/>
      <c r="AG6" s="209"/>
      <c r="AH6" s="210"/>
      <c r="AI6" s="82"/>
      <c r="AJ6" s="83"/>
      <c r="AK6" s="83"/>
      <c r="AL6" s="83"/>
      <c r="AM6" s="83"/>
      <c r="AN6" s="83"/>
      <c r="AO6" s="83"/>
      <c r="AP6" s="83"/>
      <c r="AQ6" s="83"/>
      <c r="AR6" s="83"/>
      <c r="AS6" s="83"/>
      <c r="AT6" s="83"/>
      <c r="AU6" s="83"/>
      <c r="AV6" s="83"/>
      <c r="AW6" s="83"/>
      <c r="AX6" s="83"/>
      <c r="AY6" s="83"/>
      <c r="AZ6" s="84"/>
      <c r="BA6"/>
      <c r="BB6"/>
      <c r="BC6"/>
      <c r="BD6"/>
      <c r="BE6"/>
      <c r="BF6"/>
      <c r="BG6"/>
      <c r="BH6"/>
      <c r="BI6"/>
      <c r="BJ6"/>
      <c r="BK6"/>
      <c r="BL6"/>
      <c r="BM6"/>
    </row>
    <row r="7" spans="1:65" s="67" customFormat="1" ht="19.899999999999999" customHeight="1">
      <c r="A7" s="211" t="s">
        <v>33</v>
      </c>
      <c r="B7" s="212"/>
      <c r="C7" s="212"/>
      <c r="D7" s="212"/>
      <c r="E7" s="212"/>
      <c r="F7" s="212"/>
      <c r="G7" s="213"/>
      <c r="H7" s="214"/>
      <c r="I7" s="214"/>
      <c r="J7" s="214"/>
      <c r="K7" s="214"/>
      <c r="L7" s="214"/>
      <c r="M7" s="214"/>
      <c r="N7" s="214"/>
      <c r="O7" s="214"/>
      <c r="P7" s="214"/>
      <c r="Q7" s="214"/>
      <c r="R7" s="214"/>
      <c r="S7" s="214"/>
      <c r="T7" s="214"/>
      <c r="U7" s="214"/>
      <c r="V7" s="214"/>
      <c r="W7" s="214"/>
      <c r="X7" s="214"/>
      <c r="Y7" s="214"/>
      <c r="Z7" s="214"/>
      <c r="AA7" s="214"/>
      <c r="AB7" s="214"/>
      <c r="AC7" s="214"/>
      <c r="AD7" s="214"/>
      <c r="AE7" s="214"/>
      <c r="AF7" s="214"/>
      <c r="AG7" s="214"/>
      <c r="AH7" s="214"/>
      <c r="AI7" s="214"/>
      <c r="AJ7" s="214"/>
      <c r="AK7" s="214"/>
      <c r="AL7" s="214"/>
      <c r="AM7" s="214"/>
      <c r="AN7" s="214"/>
      <c r="AO7" s="214"/>
      <c r="AP7" s="214"/>
      <c r="AQ7" s="214"/>
      <c r="AR7" s="214"/>
      <c r="AS7" s="214"/>
      <c r="AT7" s="214"/>
      <c r="AU7" s="214"/>
      <c r="AV7" s="214"/>
      <c r="AW7" s="214"/>
      <c r="AX7" s="214"/>
      <c r="AY7" s="214"/>
      <c r="AZ7" s="215"/>
      <c r="BA7"/>
      <c r="BB7"/>
      <c r="BC7"/>
      <c r="BD7"/>
      <c r="BE7"/>
      <c r="BF7"/>
      <c r="BG7"/>
      <c r="BH7"/>
      <c r="BI7"/>
      <c r="BJ7"/>
      <c r="BK7"/>
      <c r="BL7"/>
      <c r="BM7"/>
    </row>
    <row r="8" spans="1:65" s="67" customFormat="1" ht="19.149999999999999" customHeight="1" thickBot="1">
      <c r="A8" s="191" t="s">
        <v>34</v>
      </c>
      <c r="B8" s="192"/>
      <c r="C8" s="192"/>
      <c r="D8" s="192"/>
      <c r="E8" s="192"/>
      <c r="F8" s="192"/>
      <c r="G8" s="85" t="s">
        <v>59</v>
      </c>
      <c r="H8" s="86"/>
      <c r="I8" s="86"/>
      <c r="J8" s="86"/>
      <c r="K8" s="86"/>
      <c r="L8" s="86"/>
      <c r="M8" s="86"/>
      <c r="N8" s="86"/>
      <c r="O8" s="193" t="s">
        <v>35</v>
      </c>
      <c r="P8" s="194"/>
      <c r="Q8" s="194"/>
      <c r="R8" s="194"/>
      <c r="S8" s="194"/>
      <c r="T8" s="195"/>
      <c r="U8" s="194" t="s">
        <v>56</v>
      </c>
      <c r="V8" s="194"/>
      <c r="W8" s="194"/>
      <c r="X8" s="194"/>
      <c r="Y8" s="194"/>
      <c r="Z8" s="194"/>
      <c r="AA8" s="194"/>
      <c r="AB8" s="194"/>
      <c r="AC8" s="194"/>
      <c r="AD8" s="194"/>
      <c r="AE8" s="194"/>
      <c r="AF8" s="194"/>
      <c r="AG8" s="194"/>
      <c r="AH8" s="195"/>
      <c r="AI8" s="193" t="s">
        <v>36</v>
      </c>
      <c r="AJ8" s="194"/>
      <c r="AK8" s="194"/>
      <c r="AL8" s="194"/>
      <c r="AM8" s="194"/>
      <c r="AN8" s="194"/>
      <c r="AO8" s="194"/>
      <c r="AP8" s="194"/>
      <c r="AQ8" s="194"/>
      <c r="AR8" s="196"/>
      <c r="AS8" s="197"/>
      <c r="AT8" s="197"/>
      <c r="AU8" s="197"/>
      <c r="AV8" s="197"/>
      <c r="AW8" s="197"/>
      <c r="AX8" s="197"/>
      <c r="AY8" s="197"/>
      <c r="AZ8" s="198"/>
      <c r="BA8"/>
      <c r="BB8"/>
      <c r="BC8"/>
      <c r="BD8"/>
      <c r="BE8"/>
      <c r="BF8"/>
      <c r="BG8"/>
      <c r="BH8"/>
      <c r="BI8"/>
      <c r="BJ8"/>
      <c r="BK8"/>
      <c r="BL8"/>
      <c r="BM8"/>
    </row>
    <row r="9" spans="1:65" s="1" customFormat="1" ht="15" thickTop="1">
      <c r="A9" s="28"/>
      <c r="AZ9" s="27"/>
    </row>
    <row r="10" spans="1:65" s="1" customFormat="1" ht="14.25">
      <c r="A10" s="28"/>
      <c r="AZ10" s="27"/>
    </row>
    <row r="11" spans="1:65" s="1" customFormat="1" ht="14.25">
      <c r="A11" s="29"/>
      <c r="AZ11" s="27"/>
    </row>
    <row r="12" spans="1:65" s="1" customFormat="1" ht="14.25">
      <c r="A12" s="29"/>
      <c r="AZ12" s="27"/>
    </row>
    <row r="13" spans="1:65" s="1" customFormat="1" ht="14.25">
      <c r="A13" s="29"/>
      <c r="AZ13" s="27"/>
    </row>
    <row r="14" spans="1:65" s="1" customFormat="1" ht="14.25">
      <c r="A14" s="29"/>
      <c r="AZ14" s="27"/>
    </row>
    <row r="15" spans="1:65" s="1" customFormat="1" ht="14.25">
      <c r="A15" s="29"/>
      <c r="AZ15" s="27"/>
    </row>
    <row r="16" spans="1:65" s="1" customFormat="1" ht="14.25">
      <c r="A16" s="29"/>
      <c r="AZ16" s="27"/>
    </row>
    <row r="17" spans="1:52" s="1" customFormat="1" ht="14.25">
      <c r="A17" s="29"/>
      <c r="AZ17" s="27"/>
    </row>
    <row r="18" spans="1:52" s="1" customFormat="1" ht="14.25">
      <c r="A18" s="29"/>
      <c r="AZ18" s="27"/>
    </row>
    <row r="19" spans="1:52" s="1" customFormat="1" ht="14.25">
      <c r="A19" s="29"/>
      <c r="AZ19" s="27"/>
    </row>
    <row r="20" spans="1:52" s="1" customFormat="1" ht="14.25">
      <c r="A20" s="29"/>
      <c r="AZ20" s="27"/>
    </row>
    <row r="21" spans="1:52" s="1" customFormat="1" ht="14.25">
      <c r="A21" s="29"/>
      <c r="AZ21" s="27"/>
    </row>
    <row r="22" spans="1:52" s="1" customFormat="1" ht="14.25">
      <c r="A22" s="29"/>
      <c r="AZ22" s="27"/>
    </row>
    <row r="23" spans="1:52" s="1" customFormat="1" ht="14.25">
      <c r="A23" s="29"/>
      <c r="AZ23" s="27"/>
    </row>
    <row r="24" spans="1:52" s="1" customFormat="1" ht="14.25">
      <c r="A24" s="29"/>
      <c r="AZ24" s="27"/>
    </row>
    <row r="25" spans="1:52" s="1" customFormat="1" ht="14.25">
      <c r="A25" s="29"/>
      <c r="AZ25" s="27"/>
    </row>
    <row r="26" spans="1:52" s="1" customFormat="1" ht="14.25">
      <c r="A26" s="29"/>
      <c r="AZ26" s="27"/>
    </row>
    <row r="27" spans="1:52" s="1" customFormat="1" ht="14.25">
      <c r="A27" s="29"/>
      <c r="AZ27" s="27"/>
    </row>
    <row r="28" spans="1:52" s="1" customFormat="1" ht="14.25">
      <c r="A28" s="29"/>
      <c r="AZ28" s="27"/>
    </row>
    <row r="29" spans="1:52" s="1" customFormat="1" ht="14.25">
      <c r="A29" s="29"/>
      <c r="AZ29" s="27"/>
    </row>
    <row r="30" spans="1:52" s="1" customFormat="1" ht="14.25">
      <c r="A30" s="29"/>
      <c r="AZ30" s="27"/>
    </row>
    <row r="31" spans="1:52" s="1" customFormat="1" ht="14.25">
      <c r="A31" s="29"/>
      <c r="AZ31" s="27"/>
    </row>
    <row r="32" spans="1:52" s="1" customFormat="1" ht="14.25">
      <c r="A32" s="29"/>
      <c r="AZ32" s="27"/>
    </row>
    <row r="33" spans="1:52" s="1" customFormat="1" ht="14.25">
      <c r="A33" s="29"/>
      <c r="AZ33" s="27"/>
    </row>
    <row r="34" spans="1:52" s="1" customFormat="1" ht="14.25">
      <c r="A34" s="28"/>
      <c r="AZ34" s="27"/>
    </row>
    <row r="35" spans="1:52" s="1" customFormat="1" ht="14.25">
      <c r="A35" s="28"/>
      <c r="AZ35" s="27"/>
    </row>
    <row r="36" spans="1:52" s="1" customFormat="1" ht="14.25">
      <c r="A36" s="28"/>
      <c r="AZ36" s="27"/>
    </row>
    <row r="37" spans="1:52" s="1" customFormat="1" ht="14.25">
      <c r="A37" s="29"/>
      <c r="AZ37" s="27"/>
    </row>
    <row r="38" spans="1:52" s="1" customFormat="1" ht="14.25">
      <c r="A38" s="29"/>
      <c r="N38" s="68" t="s">
        <v>10</v>
      </c>
      <c r="W38" s="1" t="s">
        <v>11</v>
      </c>
      <c r="Z38" s="1" t="s">
        <v>12</v>
      </c>
      <c r="AE38" s="1" t="s">
        <v>11</v>
      </c>
      <c r="AU38" s="69"/>
      <c r="AV38" s="69"/>
      <c r="AW38" s="69"/>
      <c r="AX38" s="69"/>
      <c r="AY38" s="69"/>
      <c r="AZ38" s="27"/>
    </row>
    <row r="39" spans="1:52" s="1" customFormat="1" ht="14.25">
      <c r="A39" s="29"/>
      <c r="AZ39" s="27"/>
    </row>
    <row r="40" spans="1:52" s="1" customFormat="1" ht="14.25">
      <c r="A40" s="29"/>
      <c r="AZ40" s="27"/>
    </row>
    <row r="41" spans="1:52" s="1" customFormat="1" ht="14.25">
      <c r="A41" s="30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2"/>
    </row>
    <row r="42" spans="1:52" s="1" customFormat="1" ht="14.25">
      <c r="A42" s="26"/>
    </row>
  </sheetData>
  <mergeCells count="17">
    <mergeCell ref="A3:Z4"/>
    <mergeCell ref="AR3:AZ3"/>
    <mergeCell ref="A5:F5"/>
    <mergeCell ref="G5:N5"/>
    <mergeCell ref="O5:T5"/>
    <mergeCell ref="U5:AH5"/>
    <mergeCell ref="A6:F6"/>
    <mergeCell ref="G6:N6"/>
    <mergeCell ref="O6:T6"/>
    <mergeCell ref="U6:AH6"/>
    <mergeCell ref="A7:F7"/>
    <mergeCell ref="G7:AZ7"/>
    <mergeCell ref="A8:F8"/>
    <mergeCell ref="O8:T8"/>
    <mergeCell ref="U8:AH8"/>
    <mergeCell ref="AI8:AQ8"/>
    <mergeCell ref="AR8:AZ8"/>
  </mergeCells>
  <phoneticPr fontId="3"/>
  <pageMargins left="0.7" right="0.7" top="0.75" bottom="0.75" header="0.3" footer="0.3"/>
  <pageSetup paperSize="9" scale="62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28023-C19A-4C8C-A2F0-1EB48A0D594B}">
  <dimension ref="A1:BL41"/>
  <sheetViews>
    <sheetView view="pageBreakPreview" zoomScale="90" zoomScaleNormal="100" zoomScaleSheetLayoutView="100" workbookViewId="0"/>
  </sheetViews>
  <sheetFormatPr defaultColWidth="1.875" defaultRowHeight="13.5" customHeight="1"/>
  <cols>
    <col min="1" max="63" width="1.875" style="50" customWidth="1"/>
    <col min="64" max="64" width="1.75" style="50" customWidth="1"/>
    <col min="65" max="319" width="1.875" style="50"/>
    <col min="320" max="320" width="1.75" style="50" customWidth="1"/>
    <col min="321" max="575" width="1.875" style="50"/>
    <col min="576" max="576" width="1.75" style="50" customWidth="1"/>
    <col min="577" max="831" width="1.875" style="50"/>
    <col min="832" max="832" width="1.75" style="50" customWidth="1"/>
    <col min="833" max="1087" width="1.875" style="50"/>
    <col min="1088" max="1088" width="1.75" style="50" customWidth="1"/>
    <col min="1089" max="1343" width="1.875" style="50"/>
    <col min="1344" max="1344" width="1.75" style="50" customWidth="1"/>
    <col min="1345" max="1599" width="1.875" style="50"/>
    <col min="1600" max="1600" width="1.75" style="50" customWidth="1"/>
    <col min="1601" max="1855" width="1.875" style="50"/>
    <col min="1856" max="1856" width="1.75" style="50" customWidth="1"/>
    <col min="1857" max="2111" width="1.875" style="50"/>
    <col min="2112" max="2112" width="1.75" style="50" customWidth="1"/>
    <col min="2113" max="2367" width="1.875" style="50"/>
    <col min="2368" max="2368" width="1.75" style="50" customWidth="1"/>
    <col min="2369" max="2623" width="1.875" style="50"/>
    <col min="2624" max="2624" width="1.75" style="50" customWidth="1"/>
    <col min="2625" max="2879" width="1.875" style="50"/>
    <col min="2880" max="2880" width="1.75" style="50" customWidth="1"/>
    <col min="2881" max="3135" width="1.875" style="50"/>
    <col min="3136" max="3136" width="1.75" style="50" customWidth="1"/>
    <col min="3137" max="3391" width="1.875" style="50"/>
    <col min="3392" max="3392" width="1.75" style="50" customWidth="1"/>
    <col min="3393" max="3647" width="1.875" style="50"/>
    <col min="3648" max="3648" width="1.75" style="50" customWidth="1"/>
    <col min="3649" max="3903" width="1.875" style="50"/>
    <col min="3904" max="3904" width="1.75" style="50" customWidth="1"/>
    <col min="3905" max="4159" width="1.875" style="50"/>
    <col min="4160" max="4160" width="1.75" style="50" customWidth="1"/>
    <col min="4161" max="4415" width="1.875" style="50"/>
    <col min="4416" max="4416" width="1.75" style="50" customWidth="1"/>
    <col min="4417" max="4671" width="1.875" style="50"/>
    <col min="4672" max="4672" width="1.75" style="50" customWidth="1"/>
    <col min="4673" max="4927" width="1.875" style="50"/>
    <col min="4928" max="4928" width="1.75" style="50" customWidth="1"/>
    <col min="4929" max="5183" width="1.875" style="50"/>
    <col min="5184" max="5184" width="1.75" style="50" customWidth="1"/>
    <col min="5185" max="5439" width="1.875" style="50"/>
    <col min="5440" max="5440" width="1.75" style="50" customWidth="1"/>
    <col min="5441" max="5695" width="1.875" style="50"/>
    <col min="5696" max="5696" width="1.75" style="50" customWidth="1"/>
    <col min="5697" max="5951" width="1.875" style="50"/>
    <col min="5952" max="5952" width="1.75" style="50" customWidth="1"/>
    <col min="5953" max="6207" width="1.875" style="50"/>
    <col min="6208" max="6208" width="1.75" style="50" customWidth="1"/>
    <col min="6209" max="6463" width="1.875" style="50"/>
    <col min="6464" max="6464" width="1.75" style="50" customWidth="1"/>
    <col min="6465" max="6719" width="1.875" style="50"/>
    <col min="6720" max="6720" width="1.75" style="50" customWidth="1"/>
    <col min="6721" max="6975" width="1.875" style="50"/>
    <col min="6976" max="6976" width="1.75" style="50" customWidth="1"/>
    <col min="6977" max="7231" width="1.875" style="50"/>
    <col min="7232" max="7232" width="1.75" style="50" customWidth="1"/>
    <col min="7233" max="7487" width="1.875" style="50"/>
    <col min="7488" max="7488" width="1.75" style="50" customWidth="1"/>
    <col min="7489" max="7743" width="1.875" style="50"/>
    <col min="7744" max="7744" width="1.75" style="50" customWidth="1"/>
    <col min="7745" max="7999" width="1.875" style="50"/>
    <col min="8000" max="8000" width="1.75" style="50" customWidth="1"/>
    <col min="8001" max="8255" width="1.875" style="50"/>
    <col min="8256" max="8256" width="1.75" style="50" customWidth="1"/>
    <col min="8257" max="8511" width="1.875" style="50"/>
    <col min="8512" max="8512" width="1.75" style="50" customWidth="1"/>
    <col min="8513" max="8767" width="1.875" style="50"/>
    <col min="8768" max="8768" width="1.75" style="50" customWidth="1"/>
    <col min="8769" max="9023" width="1.875" style="50"/>
    <col min="9024" max="9024" width="1.75" style="50" customWidth="1"/>
    <col min="9025" max="9279" width="1.875" style="50"/>
    <col min="9280" max="9280" width="1.75" style="50" customWidth="1"/>
    <col min="9281" max="9535" width="1.875" style="50"/>
    <col min="9536" max="9536" width="1.75" style="50" customWidth="1"/>
    <col min="9537" max="9791" width="1.875" style="50"/>
    <col min="9792" max="9792" width="1.75" style="50" customWidth="1"/>
    <col min="9793" max="10047" width="1.875" style="50"/>
    <col min="10048" max="10048" width="1.75" style="50" customWidth="1"/>
    <col min="10049" max="10303" width="1.875" style="50"/>
    <col min="10304" max="10304" width="1.75" style="50" customWidth="1"/>
    <col min="10305" max="10559" width="1.875" style="50"/>
    <col min="10560" max="10560" width="1.75" style="50" customWidth="1"/>
    <col min="10561" max="10815" width="1.875" style="50"/>
    <col min="10816" max="10816" width="1.75" style="50" customWidth="1"/>
    <col min="10817" max="11071" width="1.875" style="50"/>
    <col min="11072" max="11072" width="1.75" style="50" customWidth="1"/>
    <col min="11073" max="11327" width="1.875" style="50"/>
    <col min="11328" max="11328" width="1.75" style="50" customWidth="1"/>
    <col min="11329" max="11583" width="1.875" style="50"/>
    <col min="11584" max="11584" width="1.75" style="50" customWidth="1"/>
    <col min="11585" max="11839" width="1.875" style="50"/>
    <col min="11840" max="11840" width="1.75" style="50" customWidth="1"/>
    <col min="11841" max="12095" width="1.875" style="50"/>
    <col min="12096" max="12096" width="1.75" style="50" customWidth="1"/>
    <col min="12097" max="12351" width="1.875" style="50"/>
    <col min="12352" max="12352" width="1.75" style="50" customWidth="1"/>
    <col min="12353" max="12607" width="1.875" style="50"/>
    <col min="12608" max="12608" width="1.75" style="50" customWidth="1"/>
    <col min="12609" max="12863" width="1.875" style="50"/>
    <col min="12864" max="12864" width="1.75" style="50" customWidth="1"/>
    <col min="12865" max="13119" width="1.875" style="50"/>
    <col min="13120" max="13120" width="1.75" style="50" customWidth="1"/>
    <col min="13121" max="13375" width="1.875" style="50"/>
    <col min="13376" max="13376" width="1.75" style="50" customWidth="1"/>
    <col min="13377" max="13631" width="1.875" style="50"/>
    <col min="13632" max="13632" width="1.75" style="50" customWidth="1"/>
    <col min="13633" max="13887" width="1.875" style="50"/>
    <col min="13888" max="13888" width="1.75" style="50" customWidth="1"/>
    <col min="13889" max="14143" width="1.875" style="50"/>
    <col min="14144" max="14144" width="1.75" style="50" customWidth="1"/>
    <col min="14145" max="14399" width="1.875" style="50"/>
    <col min="14400" max="14400" width="1.75" style="50" customWidth="1"/>
    <col min="14401" max="14655" width="1.875" style="50"/>
    <col min="14656" max="14656" width="1.75" style="50" customWidth="1"/>
    <col min="14657" max="14911" width="1.875" style="50"/>
    <col min="14912" max="14912" width="1.75" style="50" customWidth="1"/>
    <col min="14913" max="15167" width="1.875" style="50"/>
    <col min="15168" max="15168" width="1.75" style="50" customWidth="1"/>
    <col min="15169" max="15423" width="1.875" style="50"/>
    <col min="15424" max="15424" width="1.75" style="50" customWidth="1"/>
    <col min="15425" max="15679" width="1.875" style="50"/>
    <col min="15680" max="15680" width="1.75" style="50" customWidth="1"/>
    <col min="15681" max="15935" width="1.875" style="50"/>
    <col min="15936" max="15936" width="1.75" style="50" customWidth="1"/>
    <col min="15937" max="16191" width="1.875" style="50"/>
    <col min="16192" max="16192" width="1.75" style="50" customWidth="1"/>
    <col min="16193" max="16384" width="1.875" style="50"/>
  </cols>
  <sheetData>
    <row r="1" spans="1:64" ht="13.5" customHeight="1">
      <c r="Z1" s="51" t="s">
        <v>15</v>
      </c>
    </row>
    <row r="2" spans="1:64" ht="13.5" customHeight="1" thickBot="1"/>
    <row r="3" spans="1:64" ht="13.5" customHeight="1">
      <c r="A3" s="216" t="s">
        <v>16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6"/>
      <c r="U3" s="216"/>
      <c r="V3" s="216"/>
      <c r="W3" s="216"/>
      <c r="X3" s="216"/>
      <c r="Y3" s="216"/>
      <c r="Z3" s="216"/>
      <c r="AO3" s="233" t="s">
        <v>7</v>
      </c>
      <c r="AP3" s="234"/>
      <c r="AQ3" s="234"/>
      <c r="AR3" s="234"/>
      <c r="AS3" s="234"/>
      <c r="AT3" s="234"/>
      <c r="AU3" s="235" t="s">
        <v>17</v>
      </c>
      <c r="AV3" s="236"/>
      <c r="AW3" s="236"/>
      <c r="AX3" s="236"/>
      <c r="AY3" s="236"/>
      <c r="AZ3" s="236"/>
      <c r="BA3" s="236"/>
      <c r="BB3" s="236"/>
      <c r="BC3" s="236"/>
      <c r="BD3" s="236"/>
      <c r="BE3" s="236"/>
      <c r="BF3" s="236"/>
      <c r="BG3" s="236"/>
      <c r="BH3" s="236"/>
      <c r="BI3" s="236"/>
      <c r="BJ3" s="236"/>
      <c r="BK3" s="236"/>
      <c r="BL3" s="237"/>
    </row>
    <row r="4" spans="1:64" ht="13.5" customHeight="1" thickBot="1">
      <c r="A4" s="217"/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238" t="s">
        <v>18</v>
      </c>
      <c r="AP4" s="239"/>
      <c r="AQ4" s="239"/>
      <c r="AR4" s="239"/>
      <c r="AS4" s="239"/>
      <c r="AT4" s="239"/>
      <c r="AU4" s="240" t="s">
        <v>19</v>
      </c>
      <c r="AV4" s="241"/>
      <c r="AW4" s="241"/>
      <c r="AX4" s="241"/>
      <c r="AY4" s="241"/>
      <c r="AZ4" s="241"/>
      <c r="BA4" s="241"/>
      <c r="BB4" s="241"/>
      <c r="BC4" s="241"/>
      <c r="BD4" s="241"/>
      <c r="BE4" s="241"/>
      <c r="BF4" s="241"/>
      <c r="BG4" s="241"/>
      <c r="BH4" s="241"/>
      <c r="BI4" s="241"/>
      <c r="BJ4" s="241"/>
      <c r="BK4" s="241"/>
      <c r="BL4" s="242"/>
    </row>
    <row r="5" spans="1:64" ht="13.5" customHeight="1" thickBot="1">
      <c r="A5" s="256" t="s">
        <v>20</v>
      </c>
      <c r="B5" s="257"/>
      <c r="C5" s="257"/>
      <c r="D5" s="257"/>
      <c r="E5" s="257"/>
      <c r="F5" s="258"/>
      <c r="G5" s="259" t="s">
        <v>44</v>
      </c>
      <c r="H5" s="260"/>
      <c r="I5" s="260"/>
      <c r="J5" s="260"/>
      <c r="K5" s="260"/>
      <c r="L5" s="260"/>
      <c r="M5" s="260"/>
      <c r="N5" s="261"/>
      <c r="O5" s="262" t="s">
        <v>21</v>
      </c>
      <c r="P5" s="263"/>
      <c r="Q5" s="263"/>
      <c r="R5" s="263"/>
      <c r="S5" s="263"/>
      <c r="T5" s="264"/>
      <c r="U5" s="243" t="s">
        <v>45</v>
      </c>
      <c r="V5" s="244"/>
      <c r="W5" s="244"/>
      <c r="X5" s="244"/>
      <c r="Y5" s="244"/>
      <c r="Z5" s="244"/>
      <c r="AA5" s="244"/>
      <c r="AB5" s="244"/>
      <c r="AC5" s="244"/>
      <c r="AD5" s="244"/>
      <c r="AE5" s="244"/>
      <c r="AF5" s="244"/>
      <c r="AG5" s="244"/>
      <c r="AH5" s="265"/>
      <c r="AI5" s="266" t="s">
        <v>22</v>
      </c>
      <c r="AJ5" s="267"/>
      <c r="AK5" s="267"/>
      <c r="AL5" s="267"/>
      <c r="AM5" s="267"/>
      <c r="AN5" s="268"/>
      <c r="AO5" s="243"/>
      <c r="AP5" s="244"/>
      <c r="AQ5" s="244"/>
      <c r="AR5" s="244"/>
      <c r="AS5" s="244"/>
      <c r="AT5" s="244"/>
      <c r="AU5" s="244"/>
      <c r="AV5" s="244"/>
      <c r="AW5" s="244"/>
      <c r="AX5" s="244"/>
      <c r="AY5" s="244"/>
      <c r="AZ5" s="244"/>
      <c r="BA5" s="244"/>
      <c r="BB5" s="244"/>
      <c r="BC5" s="244"/>
      <c r="BD5" s="244"/>
      <c r="BE5" s="244"/>
      <c r="BF5" s="244"/>
      <c r="BG5" s="244"/>
      <c r="BH5" s="244"/>
      <c r="BI5" s="244"/>
      <c r="BJ5" s="244"/>
      <c r="BK5" s="244"/>
      <c r="BL5" s="245"/>
    </row>
    <row r="6" spans="1:64" ht="13.5" customHeight="1" thickTop="1">
      <c r="A6" s="246" t="s">
        <v>23</v>
      </c>
      <c r="B6" s="247"/>
      <c r="C6" s="247"/>
      <c r="D6" s="247"/>
      <c r="E6" s="247"/>
      <c r="F6" s="247"/>
      <c r="G6" s="247"/>
      <c r="H6" s="247"/>
      <c r="I6" s="247"/>
      <c r="J6" s="247"/>
      <c r="K6" s="247"/>
      <c r="L6" s="247"/>
      <c r="M6" s="247"/>
      <c r="N6" s="247"/>
      <c r="O6" s="247"/>
      <c r="P6" s="247"/>
      <c r="Q6" s="247"/>
      <c r="R6" s="247"/>
      <c r="S6" s="247"/>
      <c r="T6" s="247"/>
      <c r="U6" s="247"/>
      <c r="V6" s="247"/>
      <c r="W6" s="247"/>
      <c r="X6" s="247"/>
      <c r="Y6" s="248"/>
      <c r="Z6" s="249" t="s">
        <v>14</v>
      </c>
      <c r="AA6" s="247"/>
      <c r="AB6" s="247"/>
      <c r="AC6" s="247"/>
      <c r="AD6" s="247"/>
      <c r="AE6" s="247"/>
      <c r="AF6" s="247"/>
      <c r="AG6" s="247"/>
      <c r="AH6" s="247"/>
      <c r="AI6" s="247"/>
      <c r="AJ6" s="247"/>
      <c r="AK6" s="247"/>
      <c r="AL6" s="247"/>
      <c r="AM6" s="247"/>
      <c r="AN6" s="247"/>
      <c r="AO6" s="247"/>
      <c r="AP6" s="247"/>
      <c r="AQ6" s="247"/>
      <c r="AR6" s="247"/>
      <c r="AS6" s="247"/>
      <c r="AT6" s="247"/>
      <c r="AU6" s="247"/>
      <c r="AV6" s="247"/>
      <c r="AW6" s="247"/>
      <c r="AX6" s="247"/>
      <c r="AY6" s="247"/>
      <c r="AZ6" s="247"/>
      <c r="BA6" s="247"/>
      <c r="BB6" s="247"/>
      <c r="BC6" s="247"/>
      <c r="BD6" s="247"/>
      <c r="BE6" s="247"/>
      <c r="BF6" s="247"/>
      <c r="BG6" s="247"/>
      <c r="BH6" s="247"/>
      <c r="BI6" s="247"/>
      <c r="BJ6" s="247"/>
      <c r="BK6" s="247"/>
      <c r="BL6" s="250"/>
    </row>
    <row r="7" spans="1:64" ht="13.5" customHeight="1">
      <c r="A7" s="53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5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6"/>
    </row>
    <row r="8" spans="1:64" ht="13.5" customHeight="1">
      <c r="A8" s="57"/>
      <c r="B8" s="54" t="s">
        <v>66</v>
      </c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5"/>
      <c r="AA8" s="54" t="s">
        <v>37</v>
      </c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/>
      <c r="BL8" s="56"/>
    </row>
    <row r="9" spans="1:64" ht="13.5" customHeight="1">
      <c r="A9" s="57"/>
      <c r="B9" s="50" t="s">
        <v>209</v>
      </c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5"/>
      <c r="AA9" s="54" t="s">
        <v>38</v>
      </c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6"/>
    </row>
    <row r="10" spans="1:64" ht="13.5" customHeight="1">
      <c r="A10" s="57"/>
      <c r="B10" s="50" t="s">
        <v>68</v>
      </c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5"/>
      <c r="AA10" s="54" t="s">
        <v>102</v>
      </c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6"/>
    </row>
    <row r="11" spans="1:64" ht="13.5" customHeight="1">
      <c r="A11" s="57"/>
      <c r="B11" s="54" t="s">
        <v>67</v>
      </c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5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6"/>
    </row>
    <row r="12" spans="1:64" ht="13.5" customHeight="1">
      <c r="A12" s="57"/>
      <c r="B12" s="54" t="s">
        <v>223</v>
      </c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5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6"/>
    </row>
    <row r="13" spans="1:64" ht="13.5" customHeight="1">
      <c r="A13" s="57"/>
      <c r="B13" s="54" t="s">
        <v>97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5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6"/>
    </row>
    <row r="14" spans="1:64" ht="13.5" customHeight="1">
      <c r="A14" s="57"/>
      <c r="B14" s="54" t="s">
        <v>98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5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6"/>
    </row>
    <row r="15" spans="1:64" ht="13.5" customHeight="1">
      <c r="A15" s="57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5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6"/>
    </row>
    <row r="16" spans="1:64" ht="13.5" customHeight="1">
      <c r="A16" s="57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5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6"/>
    </row>
    <row r="17" spans="1:64" ht="13.5" customHeight="1">
      <c r="A17" s="57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5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6"/>
    </row>
    <row r="18" spans="1:64" ht="13.5" customHeight="1">
      <c r="A18" s="57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5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6"/>
    </row>
    <row r="19" spans="1:64" ht="13.5" customHeight="1">
      <c r="A19" s="57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5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6"/>
    </row>
    <row r="20" spans="1:64" ht="13.5" customHeight="1">
      <c r="A20" s="57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5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56"/>
    </row>
    <row r="21" spans="1:64" ht="13.5" customHeight="1">
      <c r="A21" s="57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5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6"/>
    </row>
    <row r="22" spans="1:64" ht="13.5" customHeight="1">
      <c r="A22" s="57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5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54"/>
      <c r="BJ22" s="54"/>
      <c r="BK22" s="54"/>
      <c r="BL22" s="56"/>
    </row>
    <row r="23" spans="1:64" ht="13.5" customHeight="1">
      <c r="A23" s="58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60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59"/>
      <c r="BD23" s="59"/>
      <c r="BE23" s="59"/>
      <c r="BF23" s="59"/>
      <c r="BG23" s="59"/>
      <c r="BH23" s="59"/>
      <c r="BI23" s="59"/>
      <c r="BJ23" s="59"/>
      <c r="BK23" s="59"/>
      <c r="BL23" s="61"/>
    </row>
    <row r="24" spans="1:64" ht="13.5" customHeight="1">
      <c r="A24" s="251" t="s">
        <v>24</v>
      </c>
      <c r="B24" s="252"/>
      <c r="C24" s="252"/>
      <c r="D24" s="252"/>
      <c r="E24" s="252"/>
      <c r="F24" s="252"/>
      <c r="G24" s="252"/>
      <c r="H24" s="252"/>
      <c r="I24" s="252"/>
      <c r="J24" s="252"/>
      <c r="K24" s="252"/>
      <c r="L24" s="252"/>
      <c r="M24" s="252"/>
      <c r="N24" s="252"/>
      <c r="O24" s="252"/>
      <c r="P24" s="252"/>
      <c r="Q24" s="252"/>
      <c r="R24" s="252"/>
      <c r="S24" s="252"/>
      <c r="T24" s="253"/>
      <c r="U24" s="254" t="s">
        <v>25</v>
      </c>
      <c r="V24" s="252"/>
      <c r="W24" s="252"/>
      <c r="X24" s="252"/>
      <c r="Y24" s="252"/>
      <c r="Z24" s="252"/>
      <c r="AA24" s="252"/>
      <c r="AB24" s="252"/>
      <c r="AC24" s="252"/>
      <c r="AD24" s="252"/>
      <c r="AE24" s="252"/>
      <c r="AF24" s="252"/>
      <c r="AG24" s="252"/>
      <c r="AH24" s="252"/>
      <c r="AI24" s="252"/>
      <c r="AJ24" s="252"/>
      <c r="AK24" s="252"/>
      <c r="AL24" s="253"/>
      <c r="AM24" s="254" t="s">
        <v>26</v>
      </c>
      <c r="AN24" s="252"/>
      <c r="AO24" s="252"/>
      <c r="AP24" s="252"/>
      <c r="AQ24" s="252"/>
      <c r="AR24" s="252"/>
      <c r="AS24" s="252"/>
      <c r="AT24" s="252"/>
      <c r="AU24" s="252"/>
      <c r="AV24" s="252"/>
      <c r="AW24" s="252"/>
      <c r="AX24" s="252"/>
      <c r="AY24" s="252"/>
      <c r="AZ24" s="252"/>
      <c r="BA24" s="252"/>
      <c r="BB24" s="252"/>
      <c r="BC24" s="252"/>
      <c r="BD24" s="252"/>
      <c r="BE24" s="252"/>
      <c r="BF24" s="252"/>
      <c r="BG24" s="252"/>
      <c r="BH24" s="252"/>
      <c r="BI24" s="252"/>
      <c r="BJ24" s="252"/>
      <c r="BK24" s="252"/>
      <c r="BL24" s="255"/>
    </row>
    <row r="25" spans="1:64" ht="13.5" customHeight="1">
      <c r="A25" s="53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5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5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4"/>
      <c r="BJ25" s="54"/>
      <c r="BK25" s="54"/>
      <c r="BL25" s="56"/>
    </row>
    <row r="26" spans="1:64" ht="13.5" customHeight="1">
      <c r="A26" s="57"/>
      <c r="B26" s="54" t="s">
        <v>61</v>
      </c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5"/>
      <c r="V26" s="54" t="s">
        <v>43</v>
      </c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5"/>
      <c r="AN26" s="50" t="s">
        <v>39</v>
      </c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6"/>
    </row>
    <row r="27" spans="1:64" ht="13.5" customHeight="1">
      <c r="A27" s="57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5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5"/>
      <c r="AN27" s="50" t="s">
        <v>104</v>
      </c>
      <c r="AO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4"/>
      <c r="BI27" s="54"/>
      <c r="BJ27" s="54"/>
      <c r="BK27" s="54"/>
      <c r="BL27" s="56"/>
    </row>
    <row r="28" spans="1:64" ht="13.5" customHeight="1">
      <c r="A28" s="57"/>
      <c r="B28" s="54" t="s">
        <v>101</v>
      </c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5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5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6"/>
    </row>
    <row r="29" spans="1:64" ht="13.5" customHeight="1">
      <c r="A29" s="62"/>
      <c r="B29" s="50" t="s">
        <v>100</v>
      </c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5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5"/>
      <c r="AN29" s="54" t="s">
        <v>40</v>
      </c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54"/>
      <c r="BI29" s="54"/>
      <c r="BJ29" s="54"/>
      <c r="BK29" s="54"/>
      <c r="BL29" s="56"/>
    </row>
    <row r="30" spans="1:64" ht="13.5" customHeight="1">
      <c r="A30" s="62"/>
      <c r="B30" s="50" t="s">
        <v>99</v>
      </c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5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5"/>
      <c r="AN30" s="50" t="s">
        <v>103</v>
      </c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4"/>
      <c r="BE30" s="54"/>
      <c r="BF30" s="54"/>
      <c r="BG30" s="54"/>
      <c r="BH30" s="54"/>
      <c r="BI30" s="54"/>
      <c r="BJ30" s="54"/>
      <c r="BK30" s="54"/>
      <c r="BL30" s="56"/>
    </row>
    <row r="31" spans="1:64" ht="13.5" customHeight="1">
      <c r="A31" s="62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5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5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4"/>
      <c r="BJ31" s="54"/>
      <c r="BK31" s="54"/>
      <c r="BL31" s="56"/>
    </row>
    <row r="32" spans="1:64" ht="13.5" customHeight="1">
      <c r="A32" s="62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5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5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4"/>
      <c r="BJ32" s="54"/>
      <c r="BK32" s="54"/>
      <c r="BL32" s="56"/>
    </row>
    <row r="33" spans="1:64" ht="13.5" customHeight="1">
      <c r="A33" s="62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5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5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4"/>
      <c r="BJ33" s="54"/>
      <c r="BK33" s="54"/>
      <c r="BL33" s="56"/>
    </row>
    <row r="34" spans="1:64" ht="13.5" customHeight="1">
      <c r="A34" s="62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5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5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54"/>
      <c r="BF34" s="54"/>
      <c r="BG34" s="54"/>
      <c r="BH34" s="54"/>
      <c r="BI34" s="54"/>
      <c r="BJ34" s="54"/>
      <c r="BK34" s="54"/>
      <c r="BL34" s="56"/>
    </row>
    <row r="35" spans="1:64" ht="13.5" customHeight="1">
      <c r="A35" s="62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5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5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4"/>
      <c r="BF35" s="54"/>
      <c r="BG35" s="54"/>
      <c r="BH35" s="54"/>
      <c r="BI35" s="54"/>
      <c r="BJ35" s="54"/>
      <c r="BK35" s="54"/>
      <c r="BL35" s="56"/>
    </row>
    <row r="36" spans="1:64" ht="13.5" customHeight="1">
      <c r="A36" s="62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5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5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/>
      <c r="BJ36" s="54"/>
      <c r="BK36" s="54"/>
      <c r="BL36" s="56"/>
    </row>
    <row r="37" spans="1:64" ht="13.5" customHeight="1">
      <c r="A37" s="62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5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5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4"/>
      <c r="BJ37" s="54"/>
      <c r="BK37" s="54"/>
      <c r="BL37" s="56"/>
    </row>
    <row r="38" spans="1:64" ht="13.5" customHeight="1">
      <c r="A38" s="62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5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5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4"/>
      <c r="BB38" s="54"/>
      <c r="BC38" s="54"/>
      <c r="BD38" s="54"/>
      <c r="BE38" s="54"/>
      <c r="BF38" s="54"/>
      <c r="BG38" s="54"/>
      <c r="BH38" s="54"/>
      <c r="BI38" s="54"/>
      <c r="BJ38" s="54"/>
      <c r="BK38" s="54"/>
      <c r="BL38" s="56"/>
    </row>
    <row r="39" spans="1:64" ht="13.5" customHeight="1">
      <c r="A39" s="62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5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5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54"/>
      <c r="BC39" s="54"/>
      <c r="BD39" s="54"/>
      <c r="BE39" s="54"/>
      <c r="BF39" s="54"/>
      <c r="BG39" s="54"/>
      <c r="BH39" s="54"/>
      <c r="BI39" s="54"/>
      <c r="BJ39" s="54"/>
      <c r="BK39" s="54"/>
      <c r="BL39" s="56"/>
    </row>
    <row r="40" spans="1:64" ht="13.5" customHeight="1">
      <c r="A40" s="62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5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5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54"/>
      <c r="BC40" s="54"/>
      <c r="BD40" s="54"/>
      <c r="BE40" s="54"/>
      <c r="BF40" s="54"/>
      <c r="BG40" s="54"/>
      <c r="BH40" s="54"/>
      <c r="BI40" s="54"/>
      <c r="BJ40" s="54"/>
      <c r="BK40" s="54"/>
      <c r="BL40" s="56"/>
    </row>
    <row r="41" spans="1:64" ht="13.5" customHeight="1" thickBot="1">
      <c r="A41" s="63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5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5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  <c r="BB41" s="64"/>
      <c r="BC41" s="64"/>
      <c r="BD41" s="64"/>
      <c r="BE41" s="64"/>
      <c r="BF41" s="64"/>
      <c r="BG41" s="64"/>
      <c r="BH41" s="64"/>
      <c r="BI41" s="64"/>
      <c r="BJ41" s="64"/>
      <c r="BK41" s="64"/>
      <c r="BL41" s="66"/>
    </row>
  </sheetData>
  <mergeCells count="16">
    <mergeCell ref="AO5:BL5"/>
    <mergeCell ref="A6:Y6"/>
    <mergeCell ref="Z6:BL6"/>
    <mergeCell ref="A24:T24"/>
    <mergeCell ref="U24:AL24"/>
    <mergeCell ref="AM24:BL24"/>
    <mergeCell ref="A5:F5"/>
    <mergeCell ref="G5:N5"/>
    <mergeCell ref="O5:T5"/>
    <mergeCell ref="U5:AH5"/>
    <mergeCell ref="AI5:AN5"/>
    <mergeCell ref="A3:Z4"/>
    <mergeCell ref="AO3:AT3"/>
    <mergeCell ref="AU3:BL3"/>
    <mergeCell ref="AO4:AT4"/>
    <mergeCell ref="AU4:BL4"/>
  </mergeCells>
  <phoneticPr fontId="3"/>
  <printOptions horizontalCentered="1"/>
  <pageMargins left="0.39370078740157483" right="0.39370078740157483" top="0.59055118110236227" bottom="0.62992125984251968" header="0.19685039370078741" footer="0.19685039370078741"/>
  <pageSetup paperSize="9" fitToHeight="0" orientation="landscape" verticalDpi="300" r:id="rId1"/>
  <headerFooter alignWithMargins="0">
    <oddFooter>&amp;RPage &amp;P／Page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C9FA0-2E5C-40C5-B937-A6E9C5DD4681}">
  <sheetPr>
    <pageSetUpPr fitToPage="1"/>
  </sheetPr>
  <dimension ref="A1:BI171"/>
  <sheetViews>
    <sheetView showGridLines="0" view="pageBreakPreview" zoomScale="70" zoomScaleNormal="70" zoomScaleSheetLayoutView="70" workbookViewId="0"/>
  </sheetViews>
  <sheetFormatPr defaultColWidth="3.625" defaultRowHeight="15.75"/>
  <cols>
    <col min="1" max="6" width="3.625" style="78"/>
    <col min="7" max="7" width="6.75" style="78" customWidth="1"/>
    <col min="8" max="16384" width="3.625" style="78"/>
  </cols>
  <sheetData>
    <row r="1" spans="1:61" ht="16.5" thickBot="1"/>
    <row r="2" spans="1:61">
      <c r="A2" s="216" t="s">
        <v>41</v>
      </c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P2" s="233" t="s">
        <v>7</v>
      </c>
      <c r="AQ2" s="234"/>
      <c r="AR2" s="234"/>
      <c r="AS2" s="234"/>
      <c r="AT2" s="234"/>
      <c r="AU2" s="234"/>
      <c r="AV2" s="87" t="s">
        <v>52</v>
      </c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9"/>
    </row>
    <row r="3" spans="1:61" ht="16.5" thickBot="1">
      <c r="A3" s="217"/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  <c r="S3" s="217"/>
      <c r="T3" s="217"/>
      <c r="U3" s="217"/>
      <c r="V3" s="217"/>
      <c r="W3" s="217"/>
      <c r="X3" s="217"/>
      <c r="Y3" s="217"/>
      <c r="Z3" s="217"/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144"/>
      <c r="AL3" s="144"/>
      <c r="AM3" s="144"/>
      <c r="AN3" s="144"/>
      <c r="AO3" s="144"/>
      <c r="AP3" s="238" t="s">
        <v>18</v>
      </c>
      <c r="AQ3" s="239"/>
      <c r="AR3" s="239"/>
      <c r="AS3" s="239"/>
      <c r="AT3" s="239"/>
      <c r="AU3" s="239"/>
      <c r="AV3" s="90" t="s">
        <v>42</v>
      </c>
      <c r="AW3" s="91"/>
      <c r="AX3" s="91"/>
      <c r="AY3" s="91"/>
      <c r="AZ3" s="91"/>
      <c r="BA3" s="91"/>
      <c r="BB3" s="91"/>
      <c r="BC3" s="91"/>
      <c r="BD3" s="91"/>
      <c r="BE3" s="91"/>
      <c r="BF3" s="91"/>
      <c r="BG3" s="91"/>
      <c r="BH3" s="91"/>
      <c r="BI3" s="92"/>
    </row>
    <row r="4" spans="1:61" s="1" customFormat="1" ht="14.25">
      <c r="A4" s="271" t="s">
        <v>13</v>
      </c>
      <c r="B4" s="272"/>
      <c r="C4" s="272"/>
      <c r="D4" s="272"/>
      <c r="E4" s="272"/>
      <c r="F4" s="272"/>
      <c r="G4" s="272"/>
      <c r="H4" s="272"/>
      <c r="I4" s="272"/>
      <c r="J4" s="272"/>
      <c r="K4" s="272"/>
      <c r="L4" s="272"/>
      <c r="M4" s="272"/>
      <c r="N4" s="272"/>
      <c r="O4" s="272"/>
      <c r="P4" s="272"/>
      <c r="Q4" s="272"/>
      <c r="R4" s="272"/>
      <c r="S4" s="272"/>
      <c r="T4" s="272"/>
      <c r="U4" s="272"/>
      <c r="V4" s="272"/>
      <c r="W4" s="272"/>
      <c r="X4" s="272"/>
      <c r="Y4" s="272"/>
      <c r="Z4" s="272"/>
      <c r="AA4" s="272"/>
      <c r="AB4" s="272"/>
      <c r="AC4" s="272"/>
      <c r="AD4" s="272"/>
      <c r="AE4" s="272"/>
      <c r="AF4" s="272"/>
      <c r="AG4" s="272"/>
      <c r="AH4" s="272"/>
      <c r="AI4" s="272"/>
      <c r="AJ4" s="272"/>
      <c r="AK4" s="272"/>
      <c r="AL4" s="272"/>
      <c r="AM4" s="272"/>
      <c r="AN4" s="272"/>
      <c r="AO4" s="272"/>
      <c r="AP4" s="272"/>
      <c r="AQ4" s="272"/>
      <c r="AR4" s="272"/>
      <c r="AS4" s="273"/>
      <c r="AT4" s="274" t="s">
        <v>14</v>
      </c>
      <c r="AU4" s="275"/>
      <c r="AV4" s="275"/>
      <c r="AW4" s="275"/>
      <c r="AX4" s="275"/>
      <c r="AY4" s="275"/>
      <c r="AZ4" s="275"/>
      <c r="BA4" s="275"/>
      <c r="BB4" s="275"/>
      <c r="BC4" s="275"/>
      <c r="BD4" s="275"/>
      <c r="BE4" s="275"/>
      <c r="BF4" s="275"/>
      <c r="BG4" s="275"/>
      <c r="BH4" s="275"/>
      <c r="BI4" s="276"/>
    </row>
    <row r="5" spans="1:61" s="1" customFormat="1" ht="14.25">
      <c r="A5" s="269"/>
      <c r="B5" s="270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4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5"/>
    </row>
    <row r="6" spans="1:61" s="1" customFormat="1" ht="14.25">
      <c r="A6" s="74"/>
      <c r="B6" s="8"/>
      <c r="C6" s="8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AT6" s="37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38"/>
    </row>
    <row r="7" spans="1:61" s="1" customFormat="1" ht="12" customHeight="1">
      <c r="A7" s="39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AT7" s="37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38"/>
    </row>
    <row r="8" spans="1:61" s="1" customFormat="1" ht="14.25">
      <c r="A8" s="39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AT8" s="37"/>
      <c r="AU8" s="43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38"/>
    </row>
    <row r="9" spans="1:61" s="1" customFormat="1">
      <c r="A9" s="39"/>
      <c r="D9" s="2"/>
      <c r="E9" s="2"/>
      <c r="F9" s="2"/>
      <c r="G9" s="2"/>
      <c r="H9" s="2"/>
      <c r="I9" s="2"/>
      <c r="J9" s="2"/>
      <c r="K9" s="2"/>
      <c r="L9" s="5"/>
      <c r="M9" s="2"/>
      <c r="N9" s="2"/>
      <c r="O9" s="2"/>
      <c r="U9" s="1" t="s">
        <v>177</v>
      </c>
      <c r="AT9" s="37"/>
      <c r="AU9" s="43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38"/>
    </row>
    <row r="10" spans="1:61" s="1" customFormat="1" ht="14.25">
      <c r="A10" s="39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AT10" s="40"/>
      <c r="AU10" s="69"/>
      <c r="AW10" s="2"/>
      <c r="AX10" s="2"/>
      <c r="AY10" s="2"/>
      <c r="AZ10" s="41"/>
      <c r="BA10" s="41"/>
      <c r="BB10" s="41"/>
      <c r="BC10" s="41"/>
      <c r="BD10" s="41"/>
      <c r="BE10" s="41"/>
      <c r="BF10" s="41"/>
      <c r="BG10" s="41"/>
      <c r="BH10" s="41"/>
      <c r="BI10" s="3"/>
    </row>
    <row r="11" spans="1:61" s="1" customFormat="1" ht="14.25">
      <c r="A11" s="39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AT11" s="40"/>
      <c r="AU11" s="69" t="s">
        <v>224</v>
      </c>
      <c r="AW11" s="2"/>
      <c r="AX11" s="2"/>
      <c r="AY11" s="2"/>
      <c r="AZ11" s="41"/>
      <c r="BA11" s="41"/>
      <c r="BB11" s="41"/>
      <c r="BC11" s="41"/>
      <c r="BD11" s="41"/>
      <c r="BE11" s="41"/>
      <c r="BF11" s="41"/>
      <c r="BG11" s="41"/>
      <c r="BH11" s="41"/>
      <c r="BI11" s="3"/>
    </row>
    <row r="12" spans="1:61" s="1" customFormat="1" ht="14.25">
      <c r="A12" s="39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AT12" s="40"/>
      <c r="AU12" s="69"/>
      <c r="AV12" s="1" t="s">
        <v>225</v>
      </c>
      <c r="AW12" s="2"/>
      <c r="AX12" s="2"/>
      <c r="AY12" s="2"/>
      <c r="AZ12" s="41"/>
      <c r="BA12" s="41"/>
      <c r="BB12" s="41"/>
      <c r="BC12" s="41"/>
      <c r="BD12" s="41"/>
      <c r="BE12" s="41"/>
      <c r="BF12" s="41"/>
      <c r="BG12" s="41"/>
      <c r="BH12" s="41"/>
      <c r="BI12" s="3"/>
    </row>
    <row r="13" spans="1:61" s="1" customFormat="1" ht="14.25">
      <c r="A13" s="39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AT13" s="40"/>
      <c r="AU13" s="69"/>
      <c r="AW13" s="2"/>
      <c r="AX13" s="2"/>
      <c r="AY13" s="2"/>
      <c r="AZ13" s="41"/>
      <c r="BA13" s="41"/>
      <c r="BB13" s="41"/>
      <c r="BC13" s="41"/>
      <c r="BD13" s="41"/>
      <c r="BE13" s="41"/>
      <c r="BF13" s="41"/>
      <c r="BG13" s="41"/>
      <c r="BH13" s="41"/>
      <c r="BI13" s="3"/>
    </row>
    <row r="14" spans="1:61" s="1" customFormat="1" ht="14.25">
      <c r="A14" s="39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AT14" s="40"/>
      <c r="AU14" s="69"/>
      <c r="AW14" s="2"/>
      <c r="AX14" s="2"/>
      <c r="AY14" s="2"/>
      <c r="AZ14" s="41"/>
      <c r="BA14" s="41"/>
      <c r="BB14" s="41"/>
      <c r="BC14" s="41"/>
      <c r="BD14" s="41"/>
      <c r="BE14" s="41"/>
      <c r="BF14" s="41"/>
      <c r="BG14" s="41"/>
      <c r="BH14" s="41"/>
      <c r="BI14" s="3"/>
    </row>
    <row r="15" spans="1:61" s="1" customFormat="1" ht="14.25">
      <c r="A15" s="39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AT15" s="40"/>
      <c r="AU15" s="69"/>
      <c r="AW15" s="2"/>
      <c r="AX15" s="2"/>
      <c r="AY15" s="2"/>
      <c r="AZ15" s="41"/>
      <c r="BA15" s="41"/>
      <c r="BB15" s="41"/>
      <c r="BC15" s="41"/>
      <c r="BD15" s="41"/>
      <c r="BE15" s="41"/>
      <c r="BF15" s="41"/>
      <c r="BG15" s="41"/>
      <c r="BH15" s="41"/>
      <c r="BI15" s="3"/>
    </row>
    <row r="16" spans="1:61" s="1" customFormat="1" ht="14.25">
      <c r="A16" s="39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AT16" s="40"/>
      <c r="AU16" s="2"/>
      <c r="AV16" s="44"/>
      <c r="AW16" s="2"/>
      <c r="AX16" s="2"/>
      <c r="AY16" s="2"/>
      <c r="AZ16" s="41"/>
      <c r="BA16" s="41"/>
      <c r="BB16" s="41"/>
      <c r="BC16" s="41"/>
      <c r="BD16" s="41"/>
      <c r="BE16" s="41"/>
      <c r="BF16" s="41"/>
      <c r="BG16" s="41"/>
      <c r="BH16" s="41"/>
      <c r="BI16" s="3"/>
    </row>
    <row r="17" spans="1:61" s="1" customFormat="1" ht="14.25">
      <c r="A17" s="39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AT17" s="40"/>
      <c r="AU17" s="2"/>
      <c r="AV17" s="44"/>
      <c r="AW17" s="2"/>
      <c r="AX17" s="2"/>
      <c r="AY17" s="2"/>
      <c r="AZ17" s="41"/>
      <c r="BA17" s="41"/>
      <c r="BB17" s="41"/>
      <c r="BC17" s="41"/>
      <c r="BD17" s="41"/>
      <c r="BE17" s="41"/>
      <c r="BF17" s="41"/>
      <c r="BG17" s="41"/>
      <c r="BH17" s="41"/>
      <c r="BI17" s="3"/>
    </row>
    <row r="18" spans="1:61" s="1" customFormat="1" ht="14.25">
      <c r="A18" s="39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AT18" s="40"/>
      <c r="AU18" s="2"/>
      <c r="AV18" s="44"/>
      <c r="AW18" s="2"/>
      <c r="AX18" s="2"/>
      <c r="AY18" s="2"/>
      <c r="AZ18" s="41"/>
      <c r="BA18" s="41"/>
      <c r="BB18" s="41"/>
      <c r="BC18" s="41"/>
      <c r="BD18" s="41"/>
      <c r="BE18" s="41"/>
      <c r="BF18" s="41"/>
      <c r="BG18" s="41"/>
      <c r="BH18" s="41"/>
      <c r="BI18" s="3"/>
    </row>
    <row r="19" spans="1:61" s="1" customFormat="1" ht="14.25">
      <c r="A19" s="39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AT19" s="40"/>
      <c r="AU19" s="2"/>
      <c r="AV19" s="44"/>
      <c r="AW19" s="2"/>
      <c r="AX19" s="2"/>
      <c r="AY19" s="2"/>
      <c r="AZ19" s="41"/>
      <c r="BA19" s="41"/>
      <c r="BB19" s="41"/>
      <c r="BC19" s="41"/>
      <c r="BD19" s="41"/>
      <c r="BE19" s="41"/>
      <c r="BF19" s="41"/>
      <c r="BG19" s="41"/>
      <c r="BH19" s="41"/>
      <c r="BI19" s="3"/>
    </row>
    <row r="20" spans="1:61" s="1" customFormat="1" ht="15.75" customHeight="1">
      <c r="A20" s="39"/>
      <c r="C20" s="70"/>
      <c r="D20" s="2"/>
      <c r="G20" s="2"/>
      <c r="H20" s="2"/>
      <c r="I20" s="2"/>
      <c r="J20" s="2"/>
      <c r="K20" s="2"/>
      <c r="L20" s="2"/>
      <c r="M20" s="2"/>
      <c r="N20" s="2"/>
      <c r="O20" s="2"/>
      <c r="AK20" s="5"/>
      <c r="AT20" s="37"/>
      <c r="AU20" s="2"/>
      <c r="AV20" s="2"/>
      <c r="AW20" s="2"/>
      <c r="AX20" s="2"/>
      <c r="AY20" s="2"/>
      <c r="AZ20" s="41"/>
      <c r="BA20" s="41"/>
      <c r="BB20" s="41"/>
      <c r="BC20" s="41"/>
      <c r="BD20" s="41"/>
      <c r="BE20" s="41"/>
      <c r="BF20" s="41"/>
      <c r="BG20" s="41"/>
      <c r="BH20" s="41"/>
      <c r="BI20" s="3"/>
    </row>
    <row r="21" spans="1:61" s="1" customFormat="1" ht="15.75" customHeight="1">
      <c r="A21" s="39"/>
      <c r="C21" s="70"/>
      <c r="D21" s="2"/>
      <c r="G21" s="2"/>
      <c r="H21" s="2"/>
      <c r="I21" s="2"/>
      <c r="J21" s="2"/>
      <c r="K21" s="2"/>
      <c r="L21" s="2"/>
      <c r="M21" s="2"/>
      <c r="N21" s="2"/>
      <c r="O21" s="2"/>
      <c r="AK21" s="5"/>
      <c r="AT21" s="37"/>
      <c r="AU21" s="69" t="s">
        <v>176</v>
      </c>
      <c r="AV21" s="2"/>
      <c r="AW21" s="2"/>
      <c r="AX21" s="2"/>
      <c r="AY21" s="2"/>
      <c r="AZ21" s="41"/>
      <c r="BA21" s="41"/>
      <c r="BB21" s="41"/>
      <c r="BC21" s="41"/>
      <c r="BD21" s="41"/>
      <c r="BE21" s="41"/>
      <c r="BF21" s="41"/>
      <c r="BG21" s="41"/>
      <c r="BH21" s="41"/>
      <c r="BI21" s="3"/>
    </row>
    <row r="22" spans="1:61" s="1" customFormat="1" ht="15.75" customHeight="1">
      <c r="A22" s="39"/>
      <c r="C22" s="70"/>
      <c r="D22" s="2"/>
      <c r="G22" s="2"/>
      <c r="H22" s="2"/>
      <c r="I22" s="2"/>
      <c r="J22" s="2"/>
      <c r="K22" s="2"/>
      <c r="L22" s="2"/>
      <c r="M22" s="2"/>
      <c r="N22" s="2"/>
      <c r="O22" s="2"/>
      <c r="AK22" s="5"/>
      <c r="AT22" s="37"/>
      <c r="AU22" s="2"/>
      <c r="AV22" s="44" t="s">
        <v>58</v>
      </c>
      <c r="AW22" s="2"/>
      <c r="AX22" s="2"/>
      <c r="AY22" s="2"/>
      <c r="AZ22" s="41"/>
      <c r="BA22" s="41"/>
      <c r="BB22" s="41"/>
      <c r="BC22" s="41"/>
      <c r="BD22" s="41"/>
      <c r="BE22" s="41"/>
      <c r="BF22" s="41"/>
      <c r="BG22" s="41"/>
      <c r="BH22" s="41"/>
      <c r="BI22" s="3"/>
    </row>
    <row r="23" spans="1:61" s="1" customFormat="1" ht="15.75" customHeight="1">
      <c r="A23" s="39"/>
      <c r="C23" s="70"/>
      <c r="D23" s="2"/>
      <c r="G23" s="2"/>
      <c r="H23" s="2"/>
      <c r="I23" s="2"/>
      <c r="J23" s="2"/>
      <c r="K23" s="2"/>
      <c r="L23" s="2"/>
      <c r="M23" s="2"/>
      <c r="N23" s="2"/>
      <c r="O23" s="2"/>
      <c r="AK23" s="5"/>
      <c r="AT23" s="37"/>
      <c r="AU23" s="2"/>
      <c r="AV23" s="2" t="s">
        <v>165</v>
      </c>
      <c r="AW23" s="2"/>
      <c r="AX23" s="2"/>
      <c r="AY23" s="2"/>
      <c r="AZ23" s="41"/>
      <c r="BA23" s="41"/>
      <c r="BB23" s="41"/>
      <c r="BC23" s="41"/>
      <c r="BD23" s="41"/>
      <c r="BE23" s="41"/>
      <c r="BF23" s="41"/>
      <c r="BG23" s="41"/>
      <c r="BH23" s="41"/>
      <c r="BI23" s="3"/>
    </row>
    <row r="24" spans="1:61" s="1" customFormat="1" ht="15.75" customHeight="1">
      <c r="A24" s="39"/>
      <c r="C24" s="70"/>
      <c r="D24" s="2"/>
      <c r="G24" s="2"/>
      <c r="H24" s="2"/>
      <c r="I24" s="2"/>
      <c r="J24" s="2"/>
      <c r="K24" s="2"/>
      <c r="L24" s="2"/>
      <c r="M24" s="2"/>
      <c r="N24" s="2"/>
      <c r="O24" s="2"/>
      <c r="AK24" s="5"/>
      <c r="AT24" s="37"/>
      <c r="AU24" s="2"/>
      <c r="AV24" s="2"/>
      <c r="AW24" s="2"/>
      <c r="AX24" s="2"/>
      <c r="AY24" s="2"/>
      <c r="AZ24" s="41"/>
      <c r="BA24" s="41"/>
      <c r="BB24" s="41"/>
      <c r="BC24" s="41"/>
      <c r="BD24" s="41"/>
      <c r="BE24" s="41"/>
      <c r="BF24" s="41"/>
      <c r="BG24" s="41"/>
      <c r="BH24" s="41"/>
      <c r="BI24" s="3"/>
    </row>
    <row r="25" spans="1:61" s="1" customFormat="1" ht="15.75" customHeight="1">
      <c r="A25" s="39"/>
      <c r="C25" s="70"/>
      <c r="D25" s="2"/>
      <c r="G25" s="2"/>
      <c r="H25" s="2"/>
      <c r="I25" s="2"/>
      <c r="J25" s="2"/>
      <c r="K25" s="2"/>
      <c r="L25" s="2"/>
      <c r="M25" s="2"/>
      <c r="N25" s="2"/>
      <c r="O25" s="2"/>
      <c r="AK25" s="5"/>
      <c r="AT25" s="37"/>
      <c r="AU25" s="2"/>
      <c r="AV25" s="2"/>
      <c r="AW25" s="2"/>
      <c r="AX25" s="2"/>
      <c r="AY25" s="2"/>
      <c r="AZ25" s="41"/>
      <c r="BA25" s="41"/>
      <c r="BB25" s="41"/>
      <c r="BC25" s="41"/>
      <c r="BD25" s="41"/>
      <c r="BE25" s="41"/>
      <c r="BF25" s="41"/>
      <c r="BG25" s="41"/>
      <c r="BH25" s="41"/>
      <c r="BI25" s="3"/>
    </row>
    <row r="26" spans="1:61" s="1" customFormat="1" ht="15.75" customHeight="1">
      <c r="A26" s="39"/>
      <c r="C26" s="70"/>
      <c r="D26" s="2"/>
      <c r="G26" s="2"/>
      <c r="H26" s="2"/>
      <c r="I26" s="2"/>
      <c r="J26" s="2"/>
      <c r="K26" s="2"/>
      <c r="L26" s="2"/>
      <c r="M26" s="2"/>
      <c r="N26" s="2"/>
      <c r="O26" s="2"/>
      <c r="AK26" s="5"/>
      <c r="AT26" s="37"/>
      <c r="AU26" s="2"/>
      <c r="AV26" s="2"/>
      <c r="AW26" s="2"/>
      <c r="AX26" s="2"/>
      <c r="AY26" s="2"/>
      <c r="AZ26" s="41"/>
      <c r="BA26" s="41"/>
      <c r="BB26" s="41"/>
      <c r="BC26" s="41"/>
      <c r="BD26" s="41"/>
      <c r="BE26" s="41"/>
      <c r="BF26" s="41"/>
      <c r="BG26" s="41"/>
      <c r="BH26" s="41"/>
      <c r="BI26" s="3"/>
    </row>
    <row r="27" spans="1:61" s="1" customFormat="1" ht="15.75" customHeight="1">
      <c r="A27" s="39"/>
      <c r="C27" s="70"/>
      <c r="D27" s="2"/>
      <c r="G27" s="2"/>
      <c r="H27" s="2"/>
      <c r="I27" s="2"/>
      <c r="J27" s="2"/>
      <c r="K27" s="2"/>
      <c r="L27" s="2"/>
      <c r="M27" s="2"/>
      <c r="N27" s="2"/>
      <c r="O27" s="2"/>
      <c r="AK27" s="5"/>
      <c r="AT27" s="37"/>
      <c r="AU27" s="2"/>
      <c r="AV27" s="2"/>
      <c r="AW27" s="2"/>
      <c r="AX27" s="2"/>
      <c r="AY27" s="2"/>
      <c r="AZ27" s="41"/>
      <c r="BA27" s="41"/>
      <c r="BB27" s="41"/>
      <c r="BC27" s="41"/>
      <c r="BD27" s="41"/>
      <c r="BE27" s="41"/>
      <c r="BF27" s="41"/>
      <c r="BG27" s="41"/>
      <c r="BH27" s="41"/>
      <c r="BI27" s="3"/>
    </row>
    <row r="28" spans="1:61" s="1" customFormat="1" ht="15.75" customHeight="1">
      <c r="A28" s="39"/>
      <c r="C28" s="70"/>
      <c r="D28" s="2"/>
      <c r="G28" s="2"/>
      <c r="H28" s="2"/>
      <c r="I28" s="2"/>
      <c r="J28" s="2"/>
      <c r="K28" s="2"/>
      <c r="L28" s="2"/>
      <c r="M28" s="2"/>
      <c r="N28" s="2"/>
      <c r="O28" s="2"/>
      <c r="AK28" s="5"/>
      <c r="AT28" s="37"/>
      <c r="AU28" s="43" t="s">
        <v>53</v>
      </c>
      <c r="AV28" s="2"/>
      <c r="AW28" s="2"/>
      <c r="AX28" s="2"/>
      <c r="AY28" s="2"/>
      <c r="AZ28" s="41"/>
      <c r="BA28" s="41"/>
      <c r="BB28" s="41"/>
      <c r="BC28" s="41"/>
      <c r="BD28" s="41"/>
      <c r="BE28" s="41"/>
      <c r="BF28" s="41"/>
      <c r="BG28" s="41"/>
      <c r="BH28" s="41"/>
      <c r="BI28" s="3"/>
    </row>
    <row r="29" spans="1:61" s="1" customFormat="1" ht="15.75" customHeight="1">
      <c r="A29" s="39"/>
      <c r="C29" s="70"/>
      <c r="D29" s="2"/>
      <c r="G29" s="2"/>
      <c r="H29" s="2"/>
      <c r="I29" s="2"/>
      <c r="J29" s="2"/>
      <c r="K29" s="2"/>
      <c r="L29" s="2"/>
      <c r="M29" s="2"/>
      <c r="N29" s="2"/>
      <c r="O29" s="2"/>
      <c r="AK29" s="5"/>
      <c r="AT29" s="37"/>
      <c r="AU29" s="43"/>
      <c r="AV29" s="2" t="s">
        <v>166</v>
      </c>
      <c r="AW29" s="2"/>
      <c r="AX29" s="2"/>
      <c r="AY29" s="2"/>
      <c r="AZ29" s="41"/>
      <c r="BA29" s="41"/>
      <c r="BB29" s="41"/>
      <c r="BC29" s="41"/>
      <c r="BD29" s="41"/>
      <c r="BE29" s="41"/>
      <c r="BF29" s="41"/>
      <c r="BG29" s="41"/>
      <c r="BH29" s="41"/>
      <c r="BI29" s="3"/>
    </row>
    <row r="30" spans="1:61" s="1" customFormat="1" ht="15.75" customHeight="1">
      <c r="A30" s="39"/>
      <c r="C30" s="70"/>
      <c r="D30" s="2"/>
      <c r="G30" s="2"/>
      <c r="H30" s="2"/>
      <c r="I30" s="2"/>
      <c r="J30" s="2"/>
      <c r="K30" s="2"/>
      <c r="L30" s="2"/>
      <c r="M30" s="2"/>
      <c r="N30" s="2"/>
      <c r="O30" s="2"/>
      <c r="AK30" s="5"/>
      <c r="AT30" s="37"/>
      <c r="AU30" s="43"/>
      <c r="AV30" s="2" t="s">
        <v>55</v>
      </c>
      <c r="AW30" s="2"/>
      <c r="AX30" s="2"/>
      <c r="AY30" s="2"/>
      <c r="AZ30" s="41"/>
      <c r="BA30" s="41"/>
      <c r="BB30" s="41"/>
      <c r="BC30" s="41"/>
      <c r="BD30" s="41"/>
      <c r="BE30" s="41"/>
      <c r="BF30" s="41"/>
      <c r="BG30" s="41"/>
      <c r="BH30" s="41"/>
      <c r="BI30" s="3"/>
    </row>
    <row r="31" spans="1:61" s="1" customFormat="1" ht="15.75" customHeight="1">
      <c r="A31" s="39"/>
      <c r="C31" s="70"/>
      <c r="D31" s="2"/>
      <c r="G31" s="2"/>
      <c r="H31" s="2"/>
      <c r="I31" s="2"/>
      <c r="J31" s="2"/>
      <c r="K31" s="2"/>
      <c r="L31" s="2"/>
      <c r="M31" s="2"/>
      <c r="N31" s="2"/>
      <c r="O31" s="2"/>
      <c r="AK31" s="5"/>
      <c r="AT31" s="37"/>
      <c r="AU31" s="43"/>
      <c r="AV31" s="2" t="s">
        <v>57</v>
      </c>
      <c r="AW31" s="2"/>
      <c r="AX31" s="2"/>
      <c r="AY31" s="2"/>
      <c r="AZ31" s="41"/>
      <c r="BA31" s="41"/>
      <c r="BB31" s="41"/>
      <c r="BC31" s="41"/>
      <c r="BD31" s="41"/>
      <c r="BE31" s="41"/>
      <c r="BF31" s="41"/>
      <c r="BG31" s="41"/>
      <c r="BH31" s="41"/>
      <c r="BI31" s="3"/>
    </row>
    <row r="32" spans="1:61" s="1" customFormat="1" ht="14.25">
      <c r="A32" s="39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AT32" s="40"/>
      <c r="AU32" s="2"/>
      <c r="AV32" s="2"/>
      <c r="AW32" s="2"/>
      <c r="AX32" s="2"/>
      <c r="AY32" s="2"/>
      <c r="AZ32" s="41"/>
      <c r="BA32" s="41"/>
      <c r="BB32" s="41"/>
      <c r="BC32" s="41"/>
      <c r="BD32" s="41"/>
      <c r="BE32" s="41"/>
      <c r="BF32" s="41"/>
      <c r="BG32" s="41"/>
      <c r="BH32" s="41"/>
      <c r="BI32" s="3"/>
    </row>
    <row r="33" spans="1:61" s="1" customFormat="1" ht="14.25">
      <c r="A33" s="39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AT33" s="40"/>
      <c r="AU33" s="2"/>
      <c r="AW33" s="2"/>
      <c r="AX33" s="2"/>
      <c r="AY33" s="2"/>
      <c r="AZ33" s="41"/>
      <c r="BA33" s="41"/>
      <c r="BB33" s="41"/>
      <c r="BC33" s="41"/>
      <c r="BD33" s="41"/>
      <c r="BE33" s="41"/>
      <c r="BF33" s="41"/>
      <c r="BG33" s="41"/>
      <c r="BH33" s="41"/>
      <c r="BI33" s="3"/>
    </row>
    <row r="34" spans="1:61" s="1" customFormat="1" ht="14.25">
      <c r="A34" s="39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AT34" s="40"/>
      <c r="AU34" s="43" t="s">
        <v>256</v>
      </c>
      <c r="AV34" s="44"/>
      <c r="AW34" s="2"/>
      <c r="AX34" s="2"/>
      <c r="AY34" s="2"/>
      <c r="AZ34" s="41"/>
      <c r="BA34" s="41"/>
      <c r="BB34" s="41"/>
      <c r="BC34" s="41"/>
      <c r="BD34" s="41"/>
      <c r="BE34" s="41"/>
      <c r="BF34" s="41"/>
      <c r="BG34" s="41"/>
      <c r="BH34" s="41"/>
      <c r="BI34" s="3"/>
    </row>
    <row r="35" spans="1:61" s="1" customFormat="1" ht="14.25">
      <c r="A35" s="36"/>
      <c r="D35" s="2"/>
      <c r="G35" s="2"/>
      <c r="H35" s="2"/>
      <c r="I35" s="2"/>
      <c r="J35" s="2"/>
      <c r="K35" s="2"/>
      <c r="L35" s="2"/>
      <c r="M35" s="2"/>
      <c r="N35" s="2"/>
      <c r="O35" s="2"/>
      <c r="AT35" s="37"/>
      <c r="AU35" s="43" t="s">
        <v>257</v>
      </c>
      <c r="BH35" s="2"/>
      <c r="BI35" s="38"/>
    </row>
    <row r="36" spans="1:61" s="1" customFormat="1" ht="14.25">
      <c r="A36" s="36"/>
      <c r="D36" s="2"/>
      <c r="G36" s="2"/>
      <c r="H36" s="2"/>
      <c r="I36" s="2"/>
      <c r="J36" s="2"/>
      <c r="K36" s="2"/>
      <c r="L36" s="2"/>
      <c r="M36" s="2"/>
      <c r="N36" s="2"/>
      <c r="O36" s="2"/>
      <c r="AT36" s="37"/>
      <c r="AU36" s="43"/>
      <c r="AV36" s="1" t="s">
        <v>258</v>
      </c>
      <c r="BH36" s="2"/>
      <c r="BI36" s="38"/>
    </row>
    <row r="37" spans="1:61" s="1" customFormat="1" ht="14.25">
      <c r="A37" s="36"/>
      <c r="D37" s="2"/>
      <c r="G37" s="2"/>
      <c r="H37" s="2"/>
      <c r="I37" s="2"/>
      <c r="J37" s="2"/>
      <c r="K37" s="2"/>
      <c r="L37" s="2"/>
      <c r="M37" s="2"/>
      <c r="N37" s="2"/>
      <c r="O37" s="2"/>
      <c r="AT37" s="37"/>
      <c r="AU37" s="43"/>
      <c r="AV37" s="1" t="s">
        <v>277</v>
      </c>
      <c r="BH37" s="2"/>
      <c r="BI37" s="38"/>
    </row>
    <row r="38" spans="1:61" s="1" customFormat="1" ht="14.25">
      <c r="A38" s="36"/>
      <c r="D38" s="2"/>
      <c r="G38" s="2"/>
      <c r="H38" s="2"/>
      <c r="I38" s="2"/>
      <c r="J38" s="2"/>
      <c r="K38" s="2"/>
      <c r="L38" s="2"/>
      <c r="M38" s="2"/>
      <c r="N38" s="2"/>
      <c r="O38" s="2"/>
      <c r="AT38" s="37"/>
      <c r="AU38" s="43"/>
      <c r="BH38" s="2"/>
      <c r="BI38" s="38"/>
    </row>
    <row r="39" spans="1:61" s="1" customFormat="1" ht="14.25">
      <c r="A39" s="36"/>
      <c r="D39" s="2"/>
      <c r="G39" s="2"/>
      <c r="H39" s="2"/>
      <c r="I39" s="2"/>
      <c r="J39" s="2"/>
      <c r="K39" s="2"/>
      <c r="L39" s="2"/>
      <c r="M39" s="2"/>
      <c r="N39" s="2"/>
      <c r="O39" s="2"/>
      <c r="AT39" s="37"/>
      <c r="AU39" s="43"/>
      <c r="BH39" s="2"/>
      <c r="BI39" s="38"/>
    </row>
    <row r="40" spans="1:61" s="1" customFormat="1" ht="14.25">
      <c r="A40" s="36"/>
      <c r="D40" s="2"/>
      <c r="G40" s="2"/>
      <c r="H40" s="2"/>
      <c r="I40" s="2"/>
      <c r="J40" s="2"/>
      <c r="K40" s="2"/>
      <c r="L40" s="2"/>
      <c r="M40" s="2"/>
      <c r="N40" s="2"/>
      <c r="O40" s="2"/>
      <c r="AT40" s="37"/>
      <c r="AU40" s="43"/>
      <c r="BH40" s="2"/>
      <c r="BI40" s="38"/>
    </row>
    <row r="41" spans="1:61" s="1" customFormat="1" ht="14.25">
      <c r="A41" s="36"/>
      <c r="D41" s="2"/>
      <c r="G41" s="2"/>
      <c r="H41" s="2"/>
      <c r="I41" s="2"/>
      <c r="J41" s="2"/>
      <c r="K41" s="2"/>
      <c r="L41" s="2"/>
      <c r="M41" s="2"/>
      <c r="N41" s="2"/>
      <c r="O41" s="2"/>
      <c r="AT41" s="37"/>
      <c r="BH41" s="2"/>
      <c r="BI41" s="38"/>
    </row>
    <row r="42" spans="1:61" s="1" customFormat="1" ht="14.25">
      <c r="A42" s="36"/>
      <c r="D42" s="2"/>
      <c r="G42" s="2"/>
      <c r="H42" s="2"/>
      <c r="I42" s="2"/>
      <c r="J42" s="2"/>
      <c r="K42" s="2"/>
      <c r="L42" s="2"/>
      <c r="M42" s="2"/>
      <c r="N42" s="2"/>
      <c r="O42" s="2"/>
      <c r="AT42" s="37"/>
      <c r="BH42" s="2"/>
      <c r="BI42" s="38"/>
    </row>
    <row r="43" spans="1:61" s="1" customFormat="1">
      <c r="A43" s="39"/>
      <c r="D43" s="2"/>
      <c r="H43" s="2"/>
      <c r="I43" s="2"/>
      <c r="J43" s="2"/>
      <c r="K43" s="2"/>
      <c r="L43" s="2"/>
      <c r="M43" s="2"/>
      <c r="N43" s="2"/>
      <c r="O43" s="2"/>
      <c r="AK43" s="5"/>
      <c r="AT43" s="37"/>
      <c r="AU43" s="2"/>
      <c r="AV43" s="2"/>
      <c r="AW43" s="2"/>
      <c r="AX43" s="2"/>
      <c r="AY43" s="2"/>
      <c r="AZ43" s="41"/>
      <c r="BA43" s="41"/>
      <c r="BB43" s="41"/>
      <c r="BC43" s="41"/>
      <c r="BD43" s="41"/>
      <c r="BE43" s="41"/>
      <c r="BF43" s="41"/>
      <c r="BG43" s="41"/>
      <c r="BH43" s="41"/>
      <c r="BI43" s="3"/>
    </row>
    <row r="44" spans="1:61" s="1" customFormat="1" ht="14.25">
      <c r="A44" s="36"/>
      <c r="D44" s="2"/>
      <c r="G44" s="2"/>
      <c r="H44" s="2"/>
      <c r="I44" s="2"/>
      <c r="J44" s="2"/>
      <c r="K44" s="2"/>
      <c r="L44" s="2"/>
      <c r="M44" s="2"/>
      <c r="N44" s="2"/>
      <c r="O44" s="2"/>
      <c r="AT44" s="42"/>
      <c r="AU44" s="43" t="s">
        <v>261</v>
      </c>
      <c r="AV44" s="2"/>
      <c r="BA44" s="2"/>
      <c r="BB44" s="2"/>
      <c r="BC44" s="2"/>
      <c r="BD44" s="2"/>
      <c r="BE44" s="2"/>
      <c r="BF44" s="2"/>
      <c r="BG44" s="2"/>
      <c r="BH44" s="2"/>
      <c r="BI44" s="38"/>
    </row>
    <row r="45" spans="1:61" s="1" customFormat="1" ht="14.25">
      <c r="A45" s="36"/>
      <c r="D45" s="2"/>
      <c r="G45" s="2"/>
      <c r="H45" s="2"/>
      <c r="I45" s="2"/>
      <c r="J45" s="2"/>
      <c r="K45" s="2"/>
      <c r="L45" s="2"/>
      <c r="M45" s="2"/>
      <c r="N45" s="2"/>
      <c r="O45" s="2"/>
      <c r="AT45" s="37"/>
      <c r="AU45" s="2"/>
      <c r="AV45" s="2" t="s">
        <v>189</v>
      </c>
      <c r="BH45" s="2"/>
      <c r="BI45" s="38"/>
    </row>
    <row r="46" spans="1:61" s="1" customFormat="1" ht="14.25">
      <c r="A46" s="36"/>
      <c r="D46" s="2"/>
      <c r="G46" s="2"/>
      <c r="H46" s="2"/>
      <c r="I46" s="2"/>
      <c r="J46" s="2"/>
      <c r="K46" s="2"/>
      <c r="L46" s="2"/>
      <c r="M46" s="2"/>
      <c r="N46" s="2"/>
      <c r="O46" s="2"/>
      <c r="AT46" s="37"/>
      <c r="AU46" s="43"/>
      <c r="AV46" s="2" t="s">
        <v>190</v>
      </c>
      <c r="BH46" s="2"/>
      <c r="BI46" s="38"/>
    </row>
    <row r="47" spans="1:61" s="1" customFormat="1" ht="14.25">
      <c r="A47" s="36"/>
      <c r="D47" s="2"/>
      <c r="G47" s="2"/>
      <c r="H47" s="2"/>
      <c r="I47" s="2"/>
      <c r="J47" s="2"/>
      <c r="K47" s="2"/>
      <c r="L47" s="2"/>
      <c r="M47" s="2"/>
      <c r="N47" s="2"/>
      <c r="O47" s="2"/>
      <c r="AT47" s="37"/>
      <c r="AU47" s="2"/>
      <c r="AV47" s="2"/>
      <c r="BH47" s="2"/>
      <c r="BI47" s="38"/>
    </row>
    <row r="48" spans="1:61" s="1" customFormat="1" ht="14.25">
      <c r="A48" s="36"/>
      <c r="D48" s="2"/>
      <c r="G48" s="2"/>
      <c r="H48" s="2"/>
      <c r="I48" s="2"/>
      <c r="J48" s="2"/>
      <c r="K48" s="2"/>
      <c r="L48" s="2"/>
      <c r="M48" s="2"/>
      <c r="N48" s="2"/>
      <c r="O48" s="2"/>
      <c r="AT48" s="37"/>
      <c r="AU48" s="43"/>
      <c r="BH48" s="2"/>
      <c r="BI48" s="38"/>
    </row>
    <row r="49" spans="1:61" s="1" customFormat="1" ht="14.25">
      <c r="A49" s="36"/>
      <c r="D49" s="2"/>
      <c r="G49" s="2"/>
      <c r="H49" s="2"/>
      <c r="I49" s="2"/>
      <c r="J49" s="2"/>
      <c r="K49" s="2"/>
      <c r="L49" s="2"/>
      <c r="M49" s="2"/>
      <c r="N49" s="2"/>
      <c r="O49" s="2"/>
      <c r="AT49" s="37"/>
      <c r="AU49" s="43"/>
      <c r="BH49" s="2"/>
      <c r="BI49" s="38"/>
    </row>
    <row r="50" spans="1:61" s="1" customFormat="1" ht="14.25">
      <c r="A50" s="36"/>
      <c r="D50" s="2"/>
      <c r="G50" s="2"/>
      <c r="H50" s="2"/>
      <c r="I50" s="2"/>
      <c r="J50" s="2"/>
      <c r="K50" s="2"/>
      <c r="L50" s="2"/>
      <c r="M50" s="2"/>
      <c r="N50" s="2"/>
      <c r="O50" s="2"/>
      <c r="AT50" s="37"/>
      <c r="AU50" s="43"/>
      <c r="BH50" s="2"/>
      <c r="BI50" s="38"/>
    </row>
    <row r="51" spans="1:61" s="1" customFormat="1" ht="14.25">
      <c r="A51" s="36"/>
      <c r="D51" s="2"/>
      <c r="G51" s="2"/>
      <c r="H51" s="2"/>
      <c r="I51" s="2"/>
      <c r="J51" s="2"/>
      <c r="K51" s="2"/>
      <c r="L51" s="2"/>
      <c r="M51" s="2"/>
      <c r="N51" s="2"/>
      <c r="O51" s="2"/>
      <c r="AT51" s="37"/>
      <c r="AU51" s="43"/>
      <c r="BH51" s="2"/>
      <c r="BI51" s="38"/>
    </row>
    <row r="52" spans="1:61" s="1" customFormat="1" ht="14.25">
      <c r="A52" s="36"/>
      <c r="D52" s="2"/>
      <c r="G52" s="2"/>
      <c r="H52" s="2"/>
      <c r="I52" s="2"/>
      <c r="J52" s="2"/>
      <c r="K52" s="2"/>
      <c r="L52" s="2"/>
      <c r="M52" s="2"/>
      <c r="N52" s="2"/>
      <c r="O52" s="2"/>
      <c r="AT52" s="37"/>
      <c r="AU52" s="43" t="s">
        <v>307</v>
      </c>
      <c r="AV52" s="2"/>
      <c r="BH52" s="2"/>
      <c r="BI52" s="38"/>
    </row>
    <row r="53" spans="1:61" s="1" customFormat="1" ht="14.25">
      <c r="A53" s="36"/>
      <c r="D53" s="2"/>
      <c r="G53" s="2"/>
      <c r="H53" s="2"/>
      <c r="I53" s="2"/>
      <c r="J53" s="2"/>
      <c r="K53" s="2"/>
      <c r="L53" s="2"/>
      <c r="M53" s="2"/>
      <c r="N53" s="2"/>
      <c r="O53" s="2"/>
      <c r="AT53" s="37"/>
      <c r="AU53" s="2"/>
      <c r="AV53" s="2" t="s">
        <v>258</v>
      </c>
      <c r="BH53" s="2"/>
      <c r="BI53" s="38"/>
    </row>
    <row r="54" spans="1:61" s="1" customFormat="1" ht="14.25">
      <c r="A54" s="36"/>
      <c r="D54" s="2"/>
      <c r="G54" s="2"/>
      <c r="H54" s="2"/>
      <c r="I54" s="2"/>
      <c r="J54" s="2"/>
      <c r="K54" s="2"/>
      <c r="L54" s="2"/>
      <c r="M54" s="2"/>
      <c r="N54" s="2"/>
      <c r="O54" s="2"/>
      <c r="AT54" s="37"/>
      <c r="AU54" s="43"/>
      <c r="AV54" s="2" t="s">
        <v>259</v>
      </c>
      <c r="BH54" s="2"/>
      <c r="BI54" s="38"/>
    </row>
    <row r="55" spans="1:61" s="1" customFormat="1" ht="14.25">
      <c r="A55" s="36"/>
      <c r="D55" s="2"/>
      <c r="G55" s="2"/>
      <c r="H55" s="2"/>
      <c r="I55" s="2"/>
      <c r="J55" s="2"/>
      <c r="K55" s="2"/>
      <c r="L55" s="2"/>
      <c r="M55" s="2"/>
      <c r="N55" s="2"/>
      <c r="O55" s="2"/>
      <c r="AT55" s="37"/>
      <c r="AU55" s="2"/>
      <c r="AV55" s="2" t="s">
        <v>260</v>
      </c>
      <c r="BH55" s="2"/>
      <c r="BI55" s="38"/>
    </row>
    <row r="56" spans="1:61" s="1" customFormat="1" ht="14.25">
      <c r="A56" s="36"/>
      <c r="D56" s="2"/>
      <c r="G56" s="2"/>
      <c r="H56" s="2"/>
      <c r="I56" s="2"/>
      <c r="J56" s="2"/>
      <c r="K56" s="2"/>
      <c r="L56" s="2"/>
      <c r="M56" s="2"/>
      <c r="N56" s="2"/>
      <c r="O56" s="2"/>
      <c r="AT56" s="37"/>
      <c r="AU56" s="43"/>
      <c r="BH56" s="2"/>
      <c r="BI56" s="38"/>
    </row>
    <row r="57" spans="1:61" s="1" customFormat="1" ht="14.25">
      <c r="A57" s="36"/>
      <c r="D57" s="2"/>
      <c r="G57" s="2"/>
      <c r="H57" s="2"/>
      <c r="I57" s="2"/>
      <c r="J57" s="2"/>
      <c r="K57" s="2"/>
      <c r="L57" s="2"/>
      <c r="M57" s="2"/>
      <c r="N57" s="2"/>
      <c r="O57" s="2"/>
      <c r="AT57" s="37"/>
      <c r="AU57" s="43"/>
      <c r="BH57" s="2"/>
      <c r="BI57" s="38"/>
    </row>
    <row r="58" spans="1:61" s="1" customFormat="1" ht="14.25">
      <c r="A58" s="36"/>
      <c r="D58" s="2"/>
      <c r="G58" s="2"/>
      <c r="H58" s="2"/>
      <c r="I58" s="2"/>
      <c r="J58" s="2"/>
      <c r="K58" s="2"/>
      <c r="L58" s="2"/>
      <c r="M58" s="2"/>
      <c r="N58" s="2"/>
      <c r="O58" s="2"/>
      <c r="AT58" s="37"/>
      <c r="AU58" s="43" t="s">
        <v>332</v>
      </c>
      <c r="BH58" s="2"/>
      <c r="BI58" s="38"/>
    </row>
    <row r="59" spans="1:61" s="1" customFormat="1" ht="14.25">
      <c r="A59" s="36"/>
      <c r="D59" s="2"/>
      <c r="G59" s="2"/>
      <c r="H59" s="2"/>
      <c r="I59" s="2"/>
      <c r="J59" s="2"/>
      <c r="K59" s="2"/>
      <c r="L59" s="2"/>
      <c r="M59" s="2"/>
      <c r="N59" s="2"/>
      <c r="O59" s="2"/>
      <c r="AT59" s="37"/>
      <c r="AU59" s="43" t="s">
        <v>257</v>
      </c>
      <c r="BH59" s="2"/>
      <c r="BI59" s="38"/>
    </row>
    <row r="60" spans="1:61" s="1" customFormat="1" ht="14.25">
      <c r="A60" s="36"/>
      <c r="D60" s="2"/>
      <c r="G60" s="2"/>
      <c r="H60" s="2"/>
      <c r="I60" s="2"/>
      <c r="J60" s="2"/>
      <c r="K60" s="2"/>
      <c r="L60" s="2"/>
      <c r="M60" s="2"/>
      <c r="N60" s="2"/>
      <c r="O60" s="2"/>
      <c r="AT60" s="37"/>
      <c r="AU60" s="43"/>
      <c r="AV60" s="1" t="s">
        <v>334</v>
      </c>
      <c r="BH60" s="2"/>
      <c r="BI60" s="38"/>
    </row>
    <row r="61" spans="1:61" s="1" customFormat="1" ht="14.25">
      <c r="A61" s="36"/>
      <c r="D61" s="2"/>
      <c r="G61" s="2"/>
      <c r="H61" s="2"/>
      <c r="I61" s="2"/>
      <c r="J61" s="2"/>
      <c r="K61" s="2"/>
      <c r="L61" s="2"/>
      <c r="M61" s="2"/>
      <c r="N61" s="2"/>
      <c r="O61" s="2"/>
      <c r="AT61" s="37"/>
      <c r="AU61" s="43"/>
      <c r="AV61" s="1" t="s">
        <v>277</v>
      </c>
      <c r="BH61" s="2"/>
      <c r="BI61" s="38"/>
    </row>
    <row r="62" spans="1:61" s="1" customFormat="1" ht="14.25">
      <c r="A62" s="36"/>
      <c r="D62" s="2"/>
      <c r="G62" s="2"/>
      <c r="H62" s="2"/>
      <c r="I62" s="2"/>
      <c r="J62" s="2"/>
      <c r="K62" s="2"/>
      <c r="L62" s="2"/>
      <c r="M62" s="2"/>
      <c r="N62" s="2"/>
      <c r="O62" s="2"/>
      <c r="AT62" s="37"/>
      <c r="AU62" s="43"/>
      <c r="AV62" s="1" t="s">
        <v>333</v>
      </c>
      <c r="BH62" s="2"/>
      <c r="BI62" s="38"/>
    </row>
    <row r="63" spans="1:61" s="1" customFormat="1" ht="14.25">
      <c r="A63" s="36"/>
      <c r="D63" s="2"/>
      <c r="G63" s="2"/>
      <c r="H63" s="2"/>
      <c r="I63" s="2"/>
      <c r="J63" s="2"/>
      <c r="K63" s="2"/>
      <c r="L63" s="2"/>
      <c r="M63" s="2"/>
      <c r="N63" s="2"/>
      <c r="O63" s="2"/>
      <c r="AT63" s="37"/>
      <c r="AU63" s="43"/>
      <c r="BH63" s="2"/>
      <c r="BI63" s="38"/>
    </row>
    <row r="64" spans="1:61" s="1" customFormat="1" ht="14.25">
      <c r="A64" s="36"/>
      <c r="D64" s="2"/>
      <c r="G64" s="2"/>
      <c r="H64" s="2"/>
      <c r="I64" s="2"/>
      <c r="J64" s="2"/>
      <c r="K64" s="2"/>
      <c r="L64" s="2"/>
      <c r="M64" s="2"/>
      <c r="N64" s="2"/>
      <c r="O64" s="2"/>
      <c r="AT64" s="37"/>
      <c r="AU64" s="43"/>
      <c r="BH64" s="2"/>
      <c r="BI64" s="38"/>
    </row>
    <row r="65" spans="1:61" s="1" customFormat="1" ht="14.25">
      <c r="A65" s="36"/>
      <c r="D65" s="2"/>
      <c r="G65" s="2"/>
      <c r="H65" s="2"/>
      <c r="I65" s="2"/>
      <c r="J65" s="2"/>
      <c r="K65" s="2"/>
      <c r="L65" s="2"/>
      <c r="M65" s="2"/>
      <c r="N65" s="2"/>
      <c r="O65" s="2"/>
      <c r="AT65" s="37"/>
      <c r="AU65" s="43"/>
      <c r="BH65" s="2"/>
      <c r="BI65" s="38"/>
    </row>
    <row r="66" spans="1:61" s="1" customFormat="1" ht="14.25">
      <c r="A66" s="36"/>
      <c r="D66" s="2"/>
      <c r="G66" s="2"/>
      <c r="H66" s="2"/>
      <c r="I66" s="2"/>
      <c r="J66" s="2"/>
      <c r="K66" s="2"/>
      <c r="L66" s="2"/>
      <c r="M66" s="2"/>
      <c r="N66" s="2"/>
      <c r="O66" s="2"/>
      <c r="AT66" s="37"/>
      <c r="AU66" s="43"/>
      <c r="BH66" s="2"/>
      <c r="BI66" s="38"/>
    </row>
    <row r="67" spans="1:61" s="1" customFormat="1" ht="14.25">
      <c r="A67" s="36"/>
      <c r="D67" s="2"/>
      <c r="G67" s="2"/>
      <c r="H67" s="2"/>
      <c r="I67" s="2"/>
      <c r="J67" s="2"/>
      <c r="K67" s="2"/>
      <c r="L67" s="2"/>
      <c r="M67" s="2"/>
      <c r="N67" s="2"/>
      <c r="O67" s="2"/>
      <c r="AT67" s="37"/>
      <c r="AU67" s="43"/>
      <c r="BH67" s="2"/>
      <c r="BI67" s="38"/>
    </row>
    <row r="68" spans="1:61" s="1" customFormat="1" ht="14.25">
      <c r="A68" s="36"/>
      <c r="D68" s="2"/>
      <c r="G68" s="2"/>
      <c r="H68" s="2"/>
      <c r="I68" s="2"/>
      <c r="J68" s="2"/>
      <c r="K68" s="2"/>
      <c r="L68" s="2"/>
      <c r="M68" s="2"/>
      <c r="N68" s="2"/>
      <c r="O68" s="2"/>
      <c r="AT68" s="37"/>
      <c r="AU68" s="43"/>
      <c r="BH68" s="2"/>
      <c r="BI68" s="38"/>
    </row>
    <row r="69" spans="1:61" s="1" customFormat="1" ht="14.25">
      <c r="A69" s="36"/>
      <c r="D69" s="2"/>
      <c r="G69" s="2"/>
      <c r="H69" s="2"/>
      <c r="I69" s="2"/>
      <c r="J69" s="2"/>
      <c r="K69" s="2"/>
      <c r="L69" s="2"/>
      <c r="M69" s="2"/>
      <c r="N69" s="2"/>
      <c r="O69" s="2"/>
      <c r="AT69" s="37"/>
      <c r="AU69" s="43"/>
      <c r="BH69" s="2"/>
      <c r="BI69" s="38"/>
    </row>
    <row r="70" spans="1:61" s="1" customFormat="1" ht="14.25">
      <c r="A70" s="36"/>
      <c r="D70" s="2"/>
      <c r="G70" s="2"/>
      <c r="H70" s="2"/>
      <c r="I70" s="2"/>
      <c r="J70" s="2"/>
      <c r="K70" s="2"/>
      <c r="L70" s="2"/>
      <c r="M70" s="2"/>
      <c r="N70" s="2"/>
      <c r="O70" s="2"/>
      <c r="AT70" s="37"/>
      <c r="AU70" s="43"/>
      <c r="BH70" s="2"/>
      <c r="BI70" s="38"/>
    </row>
    <row r="71" spans="1:61" s="1" customFormat="1" ht="14.25">
      <c r="A71" s="36"/>
      <c r="D71" s="2"/>
      <c r="G71" s="2"/>
      <c r="H71" s="2"/>
      <c r="I71" s="2"/>
      <c r="J71" s="2"/>
      <c r="K71" s="2"/>
      <c r="L71" s="2"/>
      <c r="M71" s="2"/>
      <c r="N71" s="2"/>
      <c r="O71" s="2"/>
      <c r="AT71" s="37"/>
      <c r="AU71" s="43"/>
      <c r="BH71" s="2"/>
      <c r="BI71" s="38"/>
    </row>
    <row r="72" spans="1:61" s="1" customFormat="1" ht="14.25">
      <c r="A72" s="36"/>
      <c r="D72" s="2"/>
      <c r="G72" s="2"/>
      <c r="H72" s="2"/>
      <c r="I72" s="2"/>
      <c r="J72" s="2"/>
      <c r="K72" s="2"/>
      <c r="L72" s="2"/>
      <c r="M72" s="2"/>
      <c r="N72" s="2"/>
      <c r="O72" s="2"/>
      <c r="AT72" s="37"/>
      <c r="BH72" s="2"/>
      <c r="BI72" s="38"/>
    </row>
    <row r="73" spans="1:61" s="1" customFormat="1" ht="14.25">
      <c r="A73" s="36"/>
      <c r="D73" s="2"/>
      <c r="G73" s="2"/>
      <c r="H73" s="2"/>
      <c r="I73" s="2"/>
      <c r="J73" s="2"/>
      <c r="K73" s="2"/>
      <c r="L73" s="2"/>
      <c r="M73" s="2"/>
      <c r="N73" s="2"/>
      <c r="O73" s="2"/>
      <c r="AT73" s="37"/>
      <c r="AU73" s="43" t="s">
        <v>335</v>
      </c>
      <c r="BH73" s="2"/>
      <c r="BI73" s="38"/>
    </row>
    <row r="74" spans="1:61" s="1" customFormat="1" ht="14.25">
      <c r="A74" s="36"/>
      <c r="D74" s="2"/>
      <c r="G74" s="2"/>
      <c r="H74" s="2"/>
      <c r="I74" s="2"/>
      <c r="J74" s="2"/>
      <c r="K74" s="2"/>
      <c r="L74" s="2"/>
      <c r="M74" s="2"/>
      <c r="N74" s="2"/>
      <c r="O74" s="2"/>
      <c r="AT74" s="37"/>
      <c r="AU74" s="43"/>
      <c r="AV74" s="1" t="s">
        <v>60</v>
      </c>
      <c r="BH74" s="2"/>
      <c r="BI74" s="38"/>
    </row>
    <row r="75" spans="1:61" s="1" customFormat="1" ht="14.25">
      <c r="A75" s="36"/>
      <c r="D75" s="2"/>
      <c r="G75" s="2"/>
      <c r="H75" s="2"/>
      <c r="I75" s="2"/>
      <c r="J75" s="2"/>
      <c r="K75" s="2"/>
      <c r="L75" s="2"/>
      <c r="M75" s="2"/>
      <c r="N75" s="2"/>
      <c r="O75" s="2"/>
      <c r="AT75" s="37"/>
      <c r="AU75" s="43"/>
      <c r="AV75" s="1" t="s">
        <v>65</v>
      </c>
      <c r="BH75" s="2"/>
      <c r="BI75" s="38"/>
    </row>
    <row r="76" spans="1:61" s="1" customFormat="1" ht="14.25">
      <c r="A76" s="36"/>
      <c r="D76" s="2"/>
      <c r="G76" s="2"/>
      <c r="H76" s="2"/>
      <c r="I76" s="2"/>
      <c r="J76" s="2"/>
      <c r="K76" s="2"/>
      <c r="L76" s="2"/>
      <c r="M76" s="2"/>
      <c r="N76" s="2"/>
      <c r="O76" s="2"/>
      <c r="AT76" s="37"/>
      <c r="AU76" s="43"/>
      <c r="AV76" s="2"/>
      <c r="BH76" s="2"/>
      <c r="BI76" s="38"/>
    </row>
    <row r="77" spans="1:61" s="1" customFormat="1" ht="14.25">
      <c r="A77" s="36"/>
      <c r="D77" s="2"/>
      <c r="G77" s="2"/>
      <c r="H77" s="2"/>
      <c r="I77" s="2"/>
      <c r="J77" s="2"/>
      <c r="K77" s="2"/>
      <c r="L77" s="2"/>
      <c r="M77" s="2"/>
      <c r="N77" s="2"/>
      <c r="O77" s="2"/>
      <c r="AT77" s="37"/>
      <c r="AU77" s="43"/>
      <c r="BH77" s="2"/>
      <c r="BI77" s="38"/>
    </row>
    <row r="78" spans="1:61" s="1" customFormat="1" ht="14.25">
      <c r="A78" s="36"/>
      <c r="D78" s="2"/>
      <c r="G78" s="2"/>
      <c r="H78" s="2"/>
      <c r="I78" s="2"/>
      <c r="J78" s="2"/>
      <c r="K78" s="2"/>
      <c r="L78" s="2"/>
      <c r="M78" s="2"/>
      <c r="N78" s="2"/>
      <c r="O78" s="2"/>
      <c r="AT78" s="37"/>
      <c r="AU78" s="43"/>
      <c r="BH78" s="2"/>
      <c r="BI78" s="38"/>
    </row>
    <row r="79" spans="1:61" s="1" customFormat="1" ht="14.25">
      <c r="A79" s="36"/>
      <c r="D79" s="2"/>
      <c r="G79" s="2"/>
      <c r="H79" s="2"/>
      <c r="I79" s="2"/>
      <c r="J79" s="2"/>
      <c r="K79" s="2"/>
      <c r="L79" s="2"/>
      <c r="M79" s="2"/>
      <c r="N79" s="2"/>
      <c r="O79" s="2"/>
      <c r="AT79" s="37"/>
      <c r="AU79" s="43"/>
      <c r="BH79" s="2"/>
      <c r="BI79" s="38"/>
    </row>
    <row r="80" spans="1:61" s="1" customFormat="1" ht="14.25">
      <c r="A80" s="36"/>
      <c r="D80" s="2"/>
      <c r="G80" s="2"/>
      <c r="H80" s="2"/>
      <c r="I80" s="2"/>
      <c r="J80" s="2"/>
      <c r="K80" s="2"/>
      <c r="L80" s="2"/>
      <c r="M80" s="2"/>
      <c r="N80" s="2"/>
      <c r="O80" s="2"/>
      <c r="AT80" s="37"/>
      <c r="AU80" s="43"/>
      <c r="BH80" s="2"/>
      <c r="BI80" s="38"/>
    </row>
    <row r="81" spans="1:61" s="1" customFormat="1" ht="14.25">
      <c r="A81" s="36"/>
      <c r="D81" s="2"/>
      <c r="G81" s="2"/>
      <c r="H81" s="2"/>
      <c r="I81" s="2"/>
      <c r="J81" s="2"/>
      <c r="K81" s="2"/>
      <c r="L81" s="2"/>
      <c r="M81" s="2"/>
      <c r="N81" s="2"/>
      <c r="O81" s="2"/>
      <c r="AT81" s="37"/>
      <c r="AU81" s="43"/>
      <c r="BH81" s="2"/>
      <c r="BI81" s="38"/>
    </row>
    <row r="82" spans="1:61" s="1" customFormat="1" ht="14.25">
      <c r="A82" s="36"/>
      <c r="D82" s="2"/>
      <c r="G82" s="2"/>
      <c r="H82" s="2"/>
      <c r="I82" s="2"/>
      <c r="J82" s="2"/>
      <c r="K82" s="2"/>
      <c r="L82" s="2"/>
      <c r="M82" s="2"/>
      <c r="N82" s="2"/>
      <c r="O82" s="2"/>
      <c r="AT82" s="37"/>
      <c r="AU82" s="43" t="s">
        <v>336</v>
      </c>
      <c r="BH82" s="2"/>
      <c r="BI82" s="38"/>
    </row>
    <row r="83" spans="1:61" s="1" customFormat="1" ht="14.25">
      <c r="A83" s="36"/>
      <c r="D83" s="2"/>
      <c r="G83" s="2"/>
      <c r="H83" s="2"/>
      <c r="I83" s="2"/>
      <c r="J83" s="2"/>
      <c r="K83" s="2"/>
      <c r="L83" s="2"/>
      <c r="M83" s="2"/>
      <c r="N83" s="2"/>
      <c r="O83" s="2"/>
      <c r="AT83" s="37"/>
      <c r="AU83" s="43"/>
      <c r="AV83" s="2" t="s">
        <v>278</v>
      </c>
      <c r="BH83" s="2"/>
      <c r="BI83" s="38"/>
    </row>
    <row r="84" spans="1:61" s="1" customFormat="1" ht="14.25">
      <c r="A84" s="36"/>
      <c r="D84" s="2"/>
      <c r="G84" s="2"/>
      <c r="H84" s="2"/>
      <c r="I84" s="2"/>
      <c r="J84" s="2"/>
      <c r="K84" s="2"/>
      <c r="L84" s="2"/>
      <c r="M84" s="2"/>
      <c r="N84" s="2"/>
      <c r="O84" s="2"/>
      <c r="AT84" s="37"/>
      <c r="AU84" s="43"/>
      <c r="AV84" s="2" t="s">
        <v>279</v>
      </c>
      <c r="BH84" s="2"/>
      <c r="BI84" s="38"/>
    </row>
    <row r="85" spans="1:61" s="1" customFormat="1" ht="14.25">
      <c r="A85" s="36"/>
      <c r="D85" s="2"/>
      <c r="G85" s="2"/>
      <c r="H85" s="2"/>
      <c r="I85" s="2"/>
      <c r="J85" s="2"/>
      <c r="K85" s="2"/>
      <c r="L85" s="2"/>
      <c r="M85" s="2"/>
      <c r="N85" s="2"/>
      <c r="O85" s="2"/>
      <c r="AT85" s="37"/>
      <c r="AU85" s="43"/>
      <c r="BH85" s="2"/>
      <c r="BI85" s="38"/>
    </row>
    <row r="86" spans="1:61" s="1" customFormat="1" ht="14.25">
      <c r="A86" s="36"/>
      <c r="D86" s="2"/>
      <c r="G86" s="2"/>
      <c r="H86" s="2"/>
      <c r="I86" s="2"/>
      <c r="J86" s="2"/>
      <c r="K86" s="2"/>
      <c r="L86" s="2"/>
      <c r="M86" s="2"/>
      <c r="N86" s="2"/>
      <c r="O86" s="2"/>
      <c r="AT86" s="37"/>
      <c r="AU86" s="43"/>
      <c r="BH86" s="2"/>
      <c r="BI86" s="38"/>
    </row>
    <row r="87" spans="1:61" s="1" customFormat="1" ht="14.25">
      <c r="A87" s="36"/>
      <c r="D87" s="2"/>
      <c r="G87" s="2"/>
      <c r="H87" s="2"/>
      <c r="I87" s="2"/>
      <c r="J87" s="2"/>
      <c r="K87" s="2"/>
      <c r="L87" s="2"/>
      <c r="M87" s="2"/>
      <c r="N87" s="2"/>
      <c r="O87" s="2"/>
      <c r="AT87" s="37"/>
      <c r="AU87" s="43"/>
      <c r="BH87" s="2"/>
      <c r="BI87" s="38"/>
    </row>
    <row r="88" spans="1:61" s="1" customFormat="1" ht="14.25">
      <c r="A88" s="36"/>
      <c r="D88" s="2"/>
      <c r="G88" s="2"/>
      <c r="H88" s="2"/>
      <c r="I88" s="2"/>
      <c r="J88" s="2"/>
      <c r="K88" s="2"/>
      <c r="L88" s="2"/>
      <c r="M88" s="2"/>
      <c r="N88" s="2"/>
      <c r="O88" s="2"/>
      <c r="AT88" s="37"/>
      <c r="AU88" s="43"/>
      <c r="BH88" s="2"/>
      <c r="BI88" s="38"/>
    </row>
    <row r="89" spans="1:61" s="1" customFormat="1" ht="14.25">
      <c r="A89" s="36"/>
      <c r="D89" s="2"/>
      <c r="G89" s="2"/>
      <c r="H89" s="2"/>
      <c r="I89" s="2"/>
      <c r="J89" s="2"/>
      <c r="K89" s="2"/>
      <c r="L89" s="2"/>
      <c r="M89" s="2"/>
      <c r="N89" s="2"/>
      <c r="O89" s="2"/>
      <c r="AT89" s="37"/>
      <c r="AU89" s="43"/>
      <c r="BH89" s="2"/>
      <c r="BI89" s="38"/>
    </row>
    <row r="90" spans="1:61" s="1" customFormat="1" ht="14.25">
      <c r="A90" s="36"/>
      <c r="D90" s="2"/>
      <c r="G90" s="2"/>
      <c r="H90" s="2"/>
      <c r="I90" s="2"/>
      <c r="J90" s="2"/>
      <c r="K90" s="2"/>
      <c r="L90" s="2"/>
      <c r="M90" s="2"/>
      <c r="N90" s="2"/>
      <c r="O90" s="2"/>
      <c r="AT90" s="37"/>
      <c r="BH90" s="2"/>
      <c r="BI90" s="38"/>
    </row>
    <row r="91" spans="1:61" s="1" customFormat="1" ht="14.25">
      <c r="A91" s="36"/>
      <c r="D91" s="2"/>
      <c r="G91" s="2"/>
      <c r="H91" s="2"/>
      <c r="I91" s="2"/>
      <c r="J91" s="2"/>
      <c r="K91" s="2"/>
      <c r="L91" s="2"/>
      <c r="M91" s="2"/>
      <c r="N91" s="2"/>
      <c r="O91" s="2"/>
      <c r="AT91" s="37"/>
      <c r="AU91" s="43" t="s">
        <v>337</v>
      </c>
      <c r="BH91" s="2"/>
      <c r="BI91" s="38"/>
    </row>
    <row r="92" spans="1:61" s="1" customFormat="1" ht="14.25">
      <c r="A92" s="36"/>
      <c r="D92" s="2"/>
      <c r="G92" s="2"/>
      <c r="H92" s="2"/>
      <c r="I92" s="2"/>
      <c r="J92" s="2"/>
      <c r="K92" s="2"/>
      <c r="L92" s="2"/>
      <c r="M92" s="2"/>
      <c r="N92" s="2"/>
      <c r="O92" s="2"/>
      <c r="AT92" s="37"/>
      <c r="AU92" s="43"/>
      <c r="AV92" s="1" t="s">
        <v>340</v>
      </c>
      <c r="BH92" s="2"/>
      <c r="BI92" s="38"/>
    </row>
    <row r="93" spans="1:61" s="1" customFormat="1" ht="14.25">
      <c r="A93" s="36"/>
      <c r="D93" s="2"/>
      <c r="G93" s="2"/>
      <c r="H93" s="2"/>
      <c r="I93" s="2"/>
      <c r="J93" s="2"/>
      <c r="K93" s="2"/>
      <c r="L93" s="2"/>
      <c r="M93" s="2"/>
      <c r="N93" s="2"/>
      <c r="O93" s="2"/>
      <c r="AT93" s="37"/>
      <c r="AU93" s="43"/>
      <c r="AV93" s="1" t="s">
        <v>280</v>
      </c>
      <c r="BH93" s="2"/>
      <c r="BI93" s="38"/>
    </row>
    <row r="94" spans="1:61" s="1" customFormat="1" ht="14.25">
      <c r="A94" s="36"/>
      <c r="D94" s="2"/>
      <c r="G94" s="2"/>
      <c r="H94" s="2"/>
      <c r="I94" s="2"/>
      <c r="J94" s="2"/>
      <c r="K94" s="2"/>
      <c r="L94" s="2"/>
      <c r="M94" s="2"/>
      <c r="N94" s="2"/>
      <c r="O94" s="2"/>
      <c r="AT94" s="37"/>
      <c r="AU94" s="43"/>
      <c r="AV94" s="2"/>
      <c r="BH94" s="2"/>
      <c r="BI94" s="38"/>
    </row>
    <row r="95" spans="1:61" s="1" customFormat="1" ht="14.25">
      <c r="A95" s="36"/>
      <c r="D95" s="2"/>
      <c r="G95" s="2"/>
      <c r="H95" s="2"/>
      <c r="I95" s="2"/>
      <c r="J95" s="2"/>
      <c r="K95" s="2"/>
      <c r="L95" s="2"/>
      <c r="M95" s="2"/>
      <c r="N95" s="2"/>
      <c r="O95" s="2"/>
      <c r="AT95" s="37"/>
      <c r="AU95" s="43"/>
      <c r="BH95" s="2"/>
      <c r="BI95" s="38"/>
    </row>
    <row r="96" spans="1:61" s="1" customFormat="1" ht="14.25">
      <c r="A96" s="36"/>
      <c r="D96" s="2"/>
      <c r="G96" s="2"/>
      <c r="H96" s="2"/>
      <c r="I96" s="2"/>
      <c r="J96" s="2"/>
      <c r="K96" s="2"/>
      <c r="L96" s="2"/>
      <c r="M96" s="2"/>
      <c r="N96" s="2"/>
      <c r="O96" s="2"/>
      <c r="AT96" s="37"/>
      <c r="AU96" s="43"/>
      <c r="BH96" s="2"/>
      <c r="BI96" s="38"/>
    </row>
    <row r="97" spans="1:61" s="1" customFormat="1" ht="14.25">
      <c r="A97" s="36"/>
      <c r="D97" s="2"/>
      <c r="G97" s="2"/>
      <c r="H97" s="2"/>
      <c r="I97" s="2"/>
      <c r="J97" s="2"/>
      <c r="K97" s="2"/>
      <c r="L97" s="2"/>
      <c r="M97" s="2"/>
      <c r="N97" s="2"/>
      <c r="O97" s="2"/>
      <c r="AT97" s="37"/>
      <c r="AU97" s="43"/>
      <c r="BH97" s="2"/>
      <c r="BI97" s="38"/>
    </row>
    <row r="98" spans="1:61" s="1" customFormat="1" ht="14.25">
      <c r="A98" s="36"/>
      <c r="D98" s="2"/>
      <c r="G98" s="2"/>
      <c r="H98" s="2"/>
      <c r="I98" s="2"/>
      <c r="J98" s="2"/>
      <c r="K98" s="2"/>
      <c r="L98" s="2"/>
      <c r="M98" s="2"/>
      <c r="N98" s="2"/>
      <c r="O98" s="2"/>
      <c r="AT98" s="37"/>
      <c r="AU98" s="43"/>
      <c r="BH98" s="2"/>
      <c r="BI98" s="38"/>
    </row>
    <row r="99" spans="1:61" s="1" customFormat="1" ht="14.25">
      <c r="A99" s="36"/>
      <c r="D99" s="2"/>
      <c r="G99" s="2"/>
      <c r="H99" s="2"/>
      <c r="I99" s="2"/>
      <c r="J99" s="2"/>
      <c r="K99" s="2"/>
      <c r="L99" s="2"/>
      <c r="M99" s="2"/>
      <c r="N99" s="2"/>
      <c r="O99" s="2"/>
      <c r="AT99" s="37"/>
      <c r="AU99" s="43"/>
      <c r="BH99" s="2"/>
      <c r="BI99" s="38"/>
    </row>
    <row r="100" spans="1:61" s="1" customFormat="1" ht="14.25">
      <c r="A100" s="36"/>
      <c r="D100" s="2"/>
      <c r="G100" s="2"/>
      <c r="H100" s="2"/>
      <c r="I100" s="2"/>
      <c r="J100" s="2"/>
      <c r="K100" s="2"/>
      <c r="L100" s="2"/>
      <c r="M100" s="2"/>
      <c r="N100" s="2"/>
      <c r="O100" s="2"/>
      <c r="AT100" s="37"/>
      <c r="AU100" s="43"/>
      <c r="BH100" s="2"/>
      <c r="BI100" s="38"/>
    </row>
    <row r="101" spans="1:61" s="1" customFormat="1" ht="14.25">
      <c r="A101" s="36"/>
      <c r="D101" s="2"/>
      <c r="G101" s="2"/>
      <c r="H101" s="2"/>
      <c r="I101" s="2"/>
      <c r="J101" s="2"/>
      <c r="K101" s="2"/>
      <c r="L101" s="2"/>
      <c r="M101" s="2"/>
      <c r="N101" s="2"/>
      <c r="O101" s="2"/>
      <c r="AT101" s="37"/>
      <c r="AU101" s="43"/>
      <c r="BH101" s="2"/>
      <c r="BI101" s="38"/>
    </row>
    <row r="102" spans="1:61" s="1" customFormat="1" ht="14.25">
      <c r="A102" s="36"/>
      <c r="D102" s="2"/>
      <c r="G102" s="2"/>
      <c r="H102" s="2"/>
      <c r="I102" s="2"/>
      <c r="J102" s="2"/>
      <c r="K102" s="2"/>
      <c r="L102" s="2"/>
      <c r="M102" s="2"/>
      <c r="N102" s="2"/>
      <c r="O102" s="2"/>
      <c r="AT102" s="37"/>
      <c r="AU102" s="43"/>
      <c r="BH102" s="2"/>
      <c r="BI102" s="38"/>
    </row>
    <row r="103" spans="1:61" s="1" customFormat="1" ht="14.25">
      <c r="A103" s="36"/>
      <c r="D103" s="2"/>
      <c r="G103" s="2"/>
      <c r="H103" s="2"/>
      <c r="I103" s="2"/>
      <c r="J103" s="2"/>
      <c r="K103" s="2"/>
      <c r="L103" s="2"/>
      <c r="M103" s="2"/>
      <c r="N103" s="2"/>
      <c r="O103" s="2"/>
      <c r="AT103" s="37"/>
      <c r="AU103" s="43"/>
      <c r="BH103" s="2"/>
      <c r="BI103" s="38"/>
    </row>
    <row r="104" spans="1:61" s="1" customFormat="1" ht="14.25">
      <c r="A104" s="36"/>
      <c r="D104" s="2"/>
      <c r="G104" s="2"/>
      <c r="H104" s="2"/>
      <c r="I104" s="2"/>
      <c r="J104" s="2"/>
      <c r="K104" s="2"/>
      <c r="L104" s="2"/>
      <c r="M104" s="2"/>
      <c r="N104" s="2"/>
      <c r="O104" s="2"/>
      <c r="AT104" s="37"/>
      <c r="AU104" s="43" t="s">
        <v>338</v>
      </c>
      <c r="BH104" s="2"/>
      <c r="BI104" s="38"/>
    </row>
    <row r="105" spans="1:61" s="1" customFormat="1" ht="14.25">
      <c r="A105" s="36"/>
      <c r="D105" s="2"/>
      <c r="G105" s="2"/>
      <c r="H105" s="2"/>
      <c r="I105" s="2"/>
      <c r="J105" s="2"/>
      <c r="K105" s="2"/>
      <c r="L105" s="2"/>
      <c r="M105" s="2"/>
      <c r="N105" s="2"/>
      <c r="O105" s="2"/>
      <c r="AT105" s="37"/>
      <c r="AU105" s="43"/>
      <c r="AV105" s="2" t="s">
        <v>339</v>
      </c>
      <c r="BH105" s="2"/>
      <c r="BI105" s="38"/>
    </row>
    <row r="106" spans="1:61" s="1" customFormat="1" ht="14.25">
      <c r="A106" s="36"/>
      <c r="D106" s="2"/>
      <c r="G106" s="2"/>
      <c r="H106" s="2"/>
      <c r="I106" s="2"/>
      <c r="J106" s="2"/>
      <c r="K106" s="2"/>
      <c r="L106" s="2"/>
      <c r="M106" s="2"/>
      <c r="N106" s="2"/>
      <c r="O106" s="2"/>
      <c r="AT106" s="37"/>
      <c r="AU106" s="43"/>
      <c r="AV106" s="2" t="s">
        <v>62</v>
      </c>
      <c r="BH106" s="2"/>
      <c r="BI106" s="38"/>
    </row>
    <row r="107" spans="1:61" s="1" customFormat="1" ht="14.25">
      <c r="A107" s="36"/>
      <c r="D107" s="2"/>
      <c r="G107" s="2"/>
      <c r="H107" s="2"/>
      <c r="I107" s="2"/>
      <c r="J107" s="2"/>
      <c r="K107" s="2"/>
      <c r="L107" s="2"/>
      <c r="M107" s="2"/>
      <c r="N107" s="2"/>
      <c r="O107" s="2"/>
      <c r="AT107" s="37"/>
      <c r="AU107" s="43"/>
      <c r="BH107" s="2"/>
      <c r="BI107" s="38"/>
    </row>
    <row r="108" spans="1:61" s="1" customFormat="1" ht="14.25">
      <c r="A108" s="36"/>
      <c r="D108" s="2"/>
      <c r="G108" s="2"/>
      <c r="H108" s="2"/>
      <c r="I108" s="2"/>
      <c r="J108" s="2"/>
      <c r="K108" s="2"/>
      <c r="L108" s="2"/>
      <c r="M108" s="2"/>
      <c r="N108" s="2"/>
      <c r="O108" s="2"/>
      <c r="AT108" s="37"/>
      <c r="AU108" s="43"/>
      <c r="BH108" s="2"/>
      <c r="BI108" s="38"/>
    </row>
    <row r="109" spans="1:61" s="1" customFormat="1" ht="14.25">
      <c r="A109" s="36"/>
      <c r="D109" s="2"/>
      <c r="G109" s="2"/>
      <c r="H109" s="2"/>
      <c r="I109" s="2"/>
      <c r="J109" s="2"/>
      <c r="K109" s="2"/>
      <c r="L109" s="2"/>
      <c r="M109" s="2"/>
      <c r="N109" s="2"/>
      <c r="O109" s="2"/>
      <c r="AT109" s="37"/>
      <c r="AU109" s="43"/>
      <c r="BH109" s="2"/>
      <c r="BI109" s="38"/>
    </row>
    <row r="110" spans="1:61" s="1" customFormat="1" ht="14.25">
      <c r="A110" s="36"/>
      <c r="D110" s="2"/>
      <c r="G110" s="2"/>
      <c r="H110" s="2"/>
      <c r="I110" s="2"/>
      <c r="J110" s="2"/>
      <c r="K110" s="2"/>
      <c r="L110" s="2"/>
      <c r="M110" s="2"/>
      <c r="N110" s="2"/>
      <c r="O110" s="2"/>
      <c r="AT110" s="37"/>
      <c r="AU110" s="43"/>
      <c r="BH110" s="2"/>
      <c r="BI110" s="38"/>
    </row>
    <row r="111" spans="1:61" s="1" customFormat="1" ht="14.25">
      <c r="A111" s="36"/>
      <c r="D111" s="2"/>
      <c r="G111" s="2"/>
      <c r="H111" s="2"/>
      <c r="I111" s="2"/>
      <c r="J111" s="2"/>
      <c r="K111" s="2"/>
      <c r="L111" s="2"/>
      <c r="M111" s="2"/>
      <c r="N111" s="2"/>
      <c r="O111" s="2"/>
      <c r="AT111" s="37"/>
      <c r="AU111" s="43"/>
      <c r="BH111" s="2"/>
      <c r="BI111" s="38"/>
    </row>
    <row r="112" spans="1:61" s="1" customFormat="1" ht="14.25">
      <c r="A112" s="36"/>
      <c r="D112" s="2"/>
      <c r="G112" s="2"/>
      <c r="H112" s="2"/>
      <c r="I112" s="2"/>
      <c r="J112" s="2"/>
      <c r="K112" s="2"/>
      <c r="L112" s="2"/>
      <c r="M112" s="2"/>
      <c r="N112" s="2"/>
      <c r="O112" s="2"/>
      <c r="AT112" s="37"/>
      <c r="AU112" s="43"/>
      <c r="BH112" s="2"/>
      <c r="BI112" s="38"/>
    </row>
    <row r="113" spans="1:61" s="1" customFormat="1" ht="14.25">
      <c r="A113" s="36"/>
      <c r="D113" s="2"/>
      <c r="G113" s="2"/>
      <c r="H113" s="2"/>
      <c r="I113" s="2"/>
      <c r="J113" s="2"/>
      <c r="K113" s="2"/>
      <c r="L113" s="2"/>
      <c r="M113" s="2"/>
      <c r="N113" s="2"/>
      <c r="O113" s="2"/>
      <c r="AT113" s="37"/>
      <c r="AU113" s="43"/>
      <c r="BH113" s="2"/>
      <c r="BI113" s="38"/>
    </row>
    <row r="114" spans="1:61" s="1" customFormat="1" ht="14.25">
      <c r="A114" s="36"/>
      <c r="D114" s="2"/>
      <c r="G114" s="2"/>
      <c r="H114" s="2"/>
      <c r="I114" s="2"/>
      <c r="J114" s="2"/>
      <c r="K114" s="2"/>
      <c r="L114" s="2"/>
      <c r="M114" s="2"/>
      <c r="N114" s="2"/>
      <c r="O114" s="2"/>
      <c r="AT114" s="37"/>
      <c r="AU114" s="43"/>
      <c r="BH114" s="2"/>
      <c r="BI114" s="38"/>
    </row>
    <row r="115" spans="1:61" s="1" customFormat="1" ht="14.25">
      <c r="A115" s="36"/>
      <c r="D115" s="2"/>
      <c r="G115" s="2"/>
      <c r="H115" s="2"/>
      <c r="I115" s="2"/>
      <c r="J115" s="2"/>
      <c r="K115" s="2"/>
      <c r="L115" s="2"/>
      <c r="M115" s="2"/>
      <c r="N115" s="2"/>
      <c r="O115" s="2"/>
      <c r="AT115" s="37"/>
      <c r="AU115" s="2"/>
      <c r="AV115" s="2"/>
      <c r="BH115" s="2"/>
      <c r="BI115" s="38"/>
    </row>
    <row r="116" spans="1:61" s="1" customFormat="1" ht="14.25">
      <c r="A116" s="36"/>
      <c r="D116" s="2"/>
      <c r="G116" s="2"/>
      <c r="H116" s="2"/>
      <c r="I116" s="2"/>
      <c r="J116" s="2"/>
      <c r="K116" s="2"/>
      <c r="L116" s="2"/>
      <c r="M116" s="2"/>
      <c r="N116" s="2"/>
      <c r="O116" s="2"/>
      <c r="AT116" s="37"/>
      <c r="BH116" s="2"/>
      <c r="BI116" s="38"/>
    </row>
    <row r="117" spans="1:61" s="1" customFormat="1" ht="14.25">
      <c r="A117" s="36"/>
      <c r="D117" s="2"/>
      <c r="G117" s="2"/>
      <c r="H117" s="2"/>
      <c r="I117" s="2"/>
      <c r="J117" s="2"/>
      <c r="K117" s="2"/>
      <c r="L117" s="2"/>
      <c r="M117" s="2"/>
      <c r="N117" s="2"/>
      <c r="O117" s="2"/>
      <c r="AT117" s="37"/>
      <c r="AU117" s="2"/>
      <c r="AV117" s="2"/>
      <c r="BH117" s="2"/>
      <c r="BI117" s="38"/>
    </row>
    <row r="118" spans="1:61" s="1" customFormat="1" ht="14.25">
      <c r="A118" s="36"/>
      <c r="D118" s="2"/>
      <c r="G118" s="2"/>
      <c r="H118" s="2"/>
      <c r="I118" s="2"/>
      <c r="J118" s="2"/>
      <c r="K118" s="2"/>
      <c r="L118" s="2"/>
      <c r="M118" s="2"/>
      <c r="N118" s="2"/>
      <c r="O118" s="2"/>
      <c r="AT118" s="37"/>
      <c r="AU118" s="2"/>
      <c r="AV118" s="2"/>
      <c r="BH118" s="2"/>
      <c r="BI118" s="38"/>
    </row>
    <row r="119" spans="1:61" s="1" customFormat="1" ht="14.25">
      <c r="A119" s="36"/>
      <c r="D119" s="2"/>
      <c r="G119" s="2"/>
      <c r="H119" s="2"/>
      <c r="I119" s="2"/>
      <c r="J119" s="2"/>
      <c r="K119" s="2"/>
      <c r="L119" s="2"/>
      <c r="M119" s="2"/>
      <c r="N119" s="2"/>
      <c r="O119" s="2"/>
      <c r="AT119" s="37"/>
      <c r="AU119" s="43" t="s">
        <v>341</v>
      </c>
      <c r="BH119" s="2"/>
      <c r="BI119" s="38"/>
    </row>
    <row r="120" spans="1:61" s="1" customFormat="1" ht="14.25">
      <c r="A120" s="36"/>
      <c r="D120" s="2"/>
      <c r="G120" s="2"/>
      <c r="H120" s="2"/>
      <c r="I120" s="2"/>
      <c r="J120" s="2"/>
      <c r="K120" s="2"/>
      <c r="L120" s="2"/>
      <c r="M120" s="2"/>
      <c r="N120" s="2"/>
      <c r="O120" s="2"/>
      <c r="AT120" s="37"/>
      <c r="AU120" s="2"/>
      <c r="AV120" s="2" t="s">
        <v>54</v>
      </c>
      <c r="BH120" s="2"/>
      <c r="BI120" s="38"/>
    </row>
    <row r="121" spans="1:61" s="1" customFormat="1" ht="14.25">
      <c r="A121" s="36"/>
      <c r="D121" s="2"/>
      <c r="G121" s="2"/>
      <c r="H121" s="2"/>
      <c r="I121" s="2"/>
      <c r="J121" s="2"/>
      <c r="K121" s="2"/>
      <c r="L121" s="2"/>
      <c r="M121" s="2"/>
      <c r="N121" s="2"/>
      <c r="O121" s="2"/>
      <c r="AT121" s="37"/>
      <c r="AU121" s="2"/>
      <c r="AV121" s="44" t="s">
        <v>296</v>
      </c>
      <c r="BH121" s="2"/>
      <c r="BI121" s="38"/>
    </row>
    <row r="122" spans="1:61" s="1" customFormat="1" ht="14.25">
      <c r="A122" s="36"/>
      <c r="D122" s="2"/>
      <c r="G122" s="2"/>
      <c r="H122" s="2"/>
      <c r="I122" s="2"/>
      <c r="J122" s="2"/>
      <c r="K122" s="2"/>
      <c r="L122" s="2"/>
      <c r="M122" s="2"/>
      <c r="N122" s="2"/>
      <c r="O122" s="2"/>
      <c r="AT122" s="37"/>
      <c r="AU122" s="45"/>
      <c r="AV122" s="44"/>
      <c r="BH122" s="2"/>
      <c r="BI122" s="38"/>
    </row>
    <row r="123" spans="1:61" s="1" customFormat="1" ht="14.25">
      <c r="A123" s="36"/>
      <c r="D123" s="2"/>
      <c r="G123" s="2"/>
      <c r="H123" s="2"/>
      <c r="I123" s="2"/>
      <c r="J123" s="2"/>
      <c r="K123" s="2"/>
      <c r="L123" s="2"/>
      <c r="M123" s="2"/>
      <c r="N123" s="2"/>
      <c r="O123" s="2"/>
      <c r="AT123" s="37"/>
      <c r="AU123" s="43"/>
      <c r="AV123" s="2"/>
      <c r="BH123" s="2"/>
      <c r="BI123" s="38"/>
    </row>
    <row r="124" spans="1:61" s="1" customFormat="1" ht="14.25">
      <c r="A124" s="36"/>
      <c r="D124" s="2"/>
      <c r="G124" s="2"/>
      <c r="H124" s="2"/>
      <c r="I124" s="2"/>
      <c r="J124" s="2"/>
      <c r="K124" s="2"/>
      <c r="L124" s="2"/>
      <c r="M124" s="2"/>
      <c r="N124" s="2"/>
      <c r="O124" s="2"/>
      <c r="AT124" s="37"/>
      <c r="AU124" s="43"/>
      <c r="AV124" s="44"/>
      <c r="BH124" s="2"/>
      <c r="BI124" s="38"/>
    </row>
    <row r="125" spans="1:61" s="1" customFormat="1" ht="14.25">
      <c r="A125" s="36"/>
      <c r="D125" s="2"/>
      <c r="G125" s="2"/>
      <c r="H125" s="2"/>
      <c r="I125" s="2"/>
      <c r="J125" s="2"/>
      <c r="K125" s="2"/>
      <c r="L125" s="2"/>
      <c r="M125" s="2"/>
      <c r="N125" s="2"/>
      <c r="O125" s="2"/>
      <c r="AT125" s="37"/>
      <c r="AU125" s="43"/>
      <c r="BH125" s="2"/>
      <c r="BI125" s="38"/>
    </row>
    <row r="126" spans="1:61" s="1" customFormat="1" ht="14.25">
      <c r="A126" s="36"/>
      <c r="D126" s="2"/>
      <c r="G126" s="2"/>
      <c r="H126" s="2"/>
      <c r="I126" s="2"/>
      <c r="J126" s="2"/>
      <c r="K126" s="2"/>
      <c r="L126" s="2"/>
      <c r="M126" s="2"/>
      <c r="N126" s="2"/>
      <c r="O126" s="2"/>
      <c r="AT126" s="37"/>
      <c r="AU126" s="43"/>
      <c r="BH126" s="2"/>
      <c r="BI126" s="38"/>
    </row>
    <row r="127" spans="1:61" s="1" customFormat="1" ht="14.25">
      <c r="A127" s="36"/>
      <c r="D127" s="2"/>
      <c r="G127" s="2"/>
      <c r="H127" s="2"/>
      <c r="I127" s="2"/>
      <c r="J127" s="2"/>
      <c r="K127" s="2"/>
      <c r="L127" s="2"/>
      <c r="M127" s="2"/>
      <c r="N127" s="2"/>
      <c r="O127" s="2"/>
      <c r="AT127" s="37"/>
      <c r="AU127" s="43"/>
      <c r="BH127" s="2"/>
      <c r="BI127" s="38"/>
    </row>
    <row r="128" spans="1:61" s="1" customFormat="1" ht="14.25">
      <c r="A128" s="36"/>
      <c r="D128" s="2"/>
      <c r="G128" s="2"/>
      <c r="H128" s="2"/>
      <c r="I128" s="2"/>
      <c r="J128" s="2"/>
      <c r="K128" s="2"/>
      <c r="L128" s="2"/>
      <c r="M128" s="2"/>
      <c r="N128" s="2"/>
      <c r="O128" s="2"/>
      <c r="AT128" s="37"/>
      <c r="AU128" s="43"/>
      <c r="BH128" s="2"/>
      <c r="BI128" s="38"/>
    </row>
    <row r="129" spans="1:61" s="1" customFormat="1" ht="14.25">
      <c r="A129" s="36"/>
      <c r="D129" s="2"/>
      <c r="G129" s="2"/>
      <c r="H129" s="2"/>
      <c r="I129" s="2"/>
      <c r="J129" s="2"/>
      <c r="K129" s="2"/>
      <c r="L129" s="2"/>
      <c r="M129" s="2"/>
      <c r="N129" s="2"/>
      <c r="O129" s="2"/>
      <c r="AT129" s="37"/>
      <c r="AU129" s="43"/>
      <c r="BH129" s="2"/>
      <c r="BI129" s="38"/>
    </row>
    <row r="130" spans="1:61" s="1" customFormat="1" ht="14.25">
      <c r="A130" s="36"/>
      <c r="D130" s="2"/>
      <c r="G130" s="2"/>
      <c r="H130" s="2"/>
      <c r="I130" s="2"/>
      <c r="J130" s="2"/>
      <c r="K130" s="2"/>
      <c r="L130" s="2"/>
      <c r="M130" s="2"/>
      <c r="N130" s="2"/>
      <c r="O130" s="2"/>
      <c r="AT130" s="37"/>
      <c r="AU130" s="43"/>
      <c r="BH130" s="2"/>
      <c r="BI130" s="38"/>
    </row>
    <row r="131" spans="1:61" s="1" customFormat="1" ht="14.25">
      <c r="A131" s="36"/>
      <c r="D131" s="2"/>
      <c r="G131" s="2"/>
      <c r="H131" s="2"/>
      <c r="I131" s="2"/>
      <c r="J131" s="2"/>
      <c r="K131" s="2"/>
      <c r="L131" s="2"/>
      <c r="M131" s="2"/>
      <c r="N131" s="2"/>
      <c r="O131" s="2"/>
      <c r="AT131" s="37"/>
      <c r="AU131" s="43"/>
      <c r="BH131" s="2"/>
      <c r="BI131" s="38"/>
    </row>
    <row r="132" spans="1:61" s="1" customFormat="1" ht="14.25">
      <c r="A132" s="36"/>
      <c r="D132" s="2"/>
      <c r="G132" s="2"/>
      <c r="H132" s="2"/>
      <c r="I132" s="2"/>
      <c r="J132" s="2"/>
      <c r="K132" s="2"/>
      <c r="L132" s="2"/>
      <c r="M132" s="2"/>
      <c r="N132" s="2"/>
      <c r="O132" s="2"/>
      <c r="AT132" s="37"/>
      <c r="AU132" s="43"/>
      <c r="BH132" s="2"/>
      <c r="BI132" s="38"/>
    </row>
    <row r="133" spans="1:61" s="1" customFormat="1" ht="14.25">
      <c r="A133" s="36"/>
      <c r="D133" s="2"/>
      <c r="G133" s="2"/>
      <c r="H133" s="2"/>
      <c r="I133" s="2"/>
      <c r="J133" s="2"/>
      <c r="K133" s="2"/>
      <c r="L133" s="2"/>
      <c r="M133" s="2"/>
      <c r="N133" s="2"/>
      <c r="O133" s="2"/>
      <c r="AT133" s="37"/>
      <c r="AU133" s="43"/>
      <c r="BH133" s="2"/>
      <c r="BI133" s="38"/>
    </row>
    <row r="134" spans="1:61" s="1" customFormat="1" ht="14.25">
      <c r="A134" s="36"/>
      <c r="D134" s="2"/>
      <c r="G134" s="2"/>
      <c r="H134" s="2"/>
      <c r="I134" s="2"/>
      <c r="J134" s="2"/>
      <c r="K134" s="2"/>
      <c r="L134" s="2"/>
      <c r="M134" s="2"/>
      <c r="N134" s="2"/>
      <c r="O134" s="2"/>
      <c r="AT134" s="37"/>
      <c r="AU134" s="43"/>
      <c r="BH134" s="2"/>
      <c r="BI134" s="38"/>
    </row>
    <row r="135" spans="1:61" s="1" customFormat="1" ht="14.25">
      <c r="A135" s="36"/>
      <c r="D135" s="2"/>
      <c r="G135" s="2"/>
      <c r="H135" s="2"/>
      <c r="I135" s="2"/>
      <c r="J135" s="2"/>
      <c r="K135" s="2"/>
      <c r="L135" s="2"/>
      <c r="M135" s="2"/>
      <c r="N135" s="2"/>
      <c r="O135" s="2"/>
      <c r="AT135" s="37"/>
      <c r="AU135" s="43" t="s">
        <v>342</v>
      </c>
      <c r="BH135" s="2"/>
      <c r="BI135" s="38"/>
    </row>
    <row r="136" spans="1:61" s="1" customFormat="1" ht="14.25">
      <c r="A136" s="36"/>
      <c r="D136" s="2"/>
      <c r="G136" s="2"/>
      <c r="H136" s="2"/>
      <c r="I136" s="2"/>
      <c r="J136" s="2"/>
      <c r="K136" s="2"/>
      <c r="L136" s="2"/>
      <c r="M136" s="2"/>
      <c r="N136" s="2"/>
      <c r="O136" s="2"/>
      <c r="AT136" s="37"/>
      <c r="AU136" s="43"/>
      <c r="AV136" s="1" t="s">
        <v>63</v>
      </c>
      <c r="BH136" s="2"/>
      <c r="BI136" s="38"/>
    </row>
    <row r="137" spans="1:61" s="1" customFormat="1" ht="14.25">
      <c r="A137" s="36"/>
      <c r="D137" s="2"/>
      <c r="G137" s="2"/>
      <c r="H137" s="2"/>
      <c r="I137" s="2"/>
      <c r="J137" s="2"/>
      <c r="K137" s="2"/>
      <c r="L137" s="2"/>
      <c r="M137" s="2"/>
      <c r="N137" s="2"/>
      <c r="O137" s="2"/>
      <c r="AT137" s="37"/>
      <c r="AU137" s="43"/>
      <c r="BH137" s="2"/>
      <c r="BI137" s="38"/>
    </row>
    <row r="138" spans="1:61" s="1" customFormat="1" ht="14.25">
      <c r="A138" s="36"/>
      <c r="D138" s="2"/>
      <c r="G138" s="2"/>
      <c r="H138" s="2"/>
      <c r="I138" s="2"/>
      <c r="J138" s="2"/>
      <c r="K138" s="2"/>
      <c r="L138" s="2"/>
      <c r="M138" s="2"/>
      <c r="N138" s="2"/>
      <c r="O138" s="2"/>
      <c r="AT138" s="37"/>
      <c r="AU138" s="43"/>
      <c r="BH138" s="2"/>
      <c r="BI138" s="38"/>
    </row>
    <row r="139" spans="1:61" s="1" customFormat="1" ht="14.25">
      <c r="A139" s="36"/>
      <c r="D139" s="2"/>
      <c r="G139" s="2"/>
      <c r="H139" s="2"/>
      <c r="I139" s="2"/>
      <c r="J139" s="2"/>
      <c r="K139" s="2"/>
      <c r="L139" s="2"/>
      <c r="M139" s="2"/>
      <c r="N139" s="2"/>
      <c r="O139" s="2"/>
      <c r="AT139" s="37"/>
      <c r="AU139" s="43"/>
      <c r="BH139" s="2"/>
      <c r="BI139" s="38"/>
    </row>
    <row r="140" spans="1:61" s="1" customFormat="1" ht="14.25">
      <c r="A140" s="36"/>
      <c r="D140" s="2"/>
      <c r="G140" s="2"/>
      <c r="H140" s="2"/>
      <c r="I140" s="2"/>
      <c r="J140" s="2"/>
      <c r="K140" s="2"/>
      <c r="L140" s="2"/>
      <c r="M140" s="2"/>
      <c r="N140" s="2"/>
      <c r="O140" s="2"/>
      <c r="AT140" s="37"/>
      <c r="AU140" s="43"/>
      <c r="BH140" s="2"/>
      <c r="BI140" s="38"/>
    </row>
    <row r="141" spans="1:61" s="1" customFormat="1" ht="14.25">
      <c r="A141" s="36"/>
      <c r="D141" s="2"/>
      <c r="G141" s="2"/>
      <c r="H141" s="2"/>
      <c r="I141" s="2"/>
      <c r="J141" s="2"/>
      <c r="K141" s="2"/>
      <c r="L141" s="2"/>
      <c r="M141" s="2"/>
      <c r="N141" s="2"/>
      <c r="O141" s="2"/>
      <c r="AT141" s="37"/>
      <c r="AU141" s="43"/>
      <c r="BH141" s="2"/>
      <c r="BI141" s="38"/>
    </row>
    <row r="142" spans="1:61" s="1" customFormat="1" ht="14.25">
      <c r="A142" s="36"/>
      <c r="D142" s="2"/>
      <c r="G142" s="2"/>
      <c r="H142" s="2"/>
      <c r="I142" s="2"/>
      <c r="J142" s="2"/>
      <c r="K142" s="2"/>
      <c r="L142" s="2"/>
      <c r="M142" s="2"/>
      <c r="N142" s="2"/>
      <c r="O142" s="2"/>
      <c r="AT142" s="37"/>
      <c r="AU142" s="43"/>
      <c r="BH142" s="2"/>
      <c r="BI142" s="38"/>
    </row>
    <row r="143" spans="1:61" s="1" customFormat="1" ht="14.25">
      <c r="A143" s="36"/>
      <c r="D143" s="2"/>
      <c r="G143" s="2"/>
      <c r="H143" s="2"/>
      <c r="I143" s="2"/>
      <c r="J143" s="2"/>
      <c r="K143" s="2"/>
      <c r="L143" s="2"/>
      <c r="M143" s="2"/>
      <c r="N143" s="2"/>
      <c r="O143" s="2"/>
      <c r="AT143" s="37"/>
      <c r="AU143" s="43"/>
      <c r="BH143" s="2"/>
      <c r="BI143" s="38"/>
    </row>
    <row r="144" spans="1:61" s="1" customFormat="1" ht="14.25">
      <c r="A144" s="36"/>
      <c r="D144" s="2"/>
      <c r="G144" s="2"/>
      <c r="H144" s="2"/>
      <c r="I144" s="2"/>
      <c r="J144" s="2"/>
      <c r="K144" s="2"/>
      <c r="L144" s="2"/>
      <c r="M144" s="2"/>
      <c r="N144" s="2"/>
      <c r="O144" s="2"/>
      <c r="AT144" s="37"/>
      <c r="AU144" s="43" t="s">
        <v>343</v>
      </c>
      <c r="BH144" s="2"/>
      <c r="BI144" s="38"/>
    </row>
    <row r="145" spans="1:61" s="1" customFormat="1" ht="14.25">
      <c r="A145" s="36"/>
      <c r="D145" s="2"/>
      <c r="G145" s="2"/>
      <c r="H145" s="2"/>
      <c r="I145" s="2"/>
      <c r="J145" s="2"/>
      <c r="K145" s="2"/>
      <c r="L145" s="2"/>
      <c r="M145" s="2"/>
      <c r="N145" s="2"/>
      <c r="O145" s="2"/>
      <c r="AT145" s="37"/>
      <c r="AU145" s="43"/>
      <c r="AV145" s="2" t="s">
        <v>64</v>
      </c>
      <c r="BH145" s="2"/>
      <c r="BI145" s="38"/>
    </row>
    <row r="146" spans="1:61" s="1" customFormat="1" ht="14.25">
      <c r="A146" s="36"/>
      <c r="D146" s="2"/>
      <c r="G146" s="2"/>
      <c r="H146" s="2"/>
      <c r="I146" s="2"/>
      <c r="J146" s="2"/>
      <c r="K146" s="2"/>
      <c r="L146" s="2"/>
      <c r="M146" s="2"/>
      <c r="N146" s="2"/>
      <c r="O146" s="2"/>
      <c r="AT146" s="37"/>
      <c r="AU146" s="43"/>
      <c r="AV146" s="44" t="s">
        <v>296</v>
      </c>
      <c r="BH146" s="2"/>
      <c r="BI146" s="38"/>
    </row>
    <row r="147" spans="1:61" s="1" customFormat="1" ht="14.25">
      <c r="A147" s="36"/>
      <c r="D147" s="2"/>
      <c r="G147" s="2"/>
      <c r="H147" s="2"/>
      <c r="I147" s="2"/>
      <c r="J147" s="2"/>
      <c r="K147" s="2"/>
      <c r="L147" s="2"/>
      <c r="M147" s="2"/>
      <c r="N147" s="2"/>
      <c r="O147" s="2"/>
      <c r="AT147" s="37"/>
      <c r="AU147" s="43"/>
      <c r="BH147" s="2"/>
      <c r="BI147" s="38"/>
    </row>
    <row r="148" spans="1:61" s="1" customFormat="1" ht="14.25">
      <c r="A148" s="36"/>
      <c r="D148" s="2"/>
      <c r="G148" s="2"/>
      <c r="H148" s="2"/>
      <c r="I148" s="2"/>
      <c r="J148" s="2"/>
      <c r="K148" s="2"/>
      <c r="L148" s="2"/>
      <c r="M148" s="2"/>
      <c r="N148" s="2"/>
      <c r="O148" s="2"/>
      <c r="AT148" s="37"/>
      <c r="AU148" s="43"/>
      <c r="BH148" s="2"/>
      <c r="BI148" s="38"/>
    </row>
    <row r="149" spans="1:61" s="1" customFormat="1" ht="14.25">
      <c r="A149" s="36"/>
      <c r="D149" s="2"/>
      <c r="G149" s="2"/>
      <c r="H149" s="2"/>
      <c r="I149" s="2"/>
      <c r="J149" s="2"/>
      <c r="K149" s="2"/>
      <c r="L149" s="2"/>
      <c r="M149" s="2"/>
      <c r="N149" s="2"/>
      <c r="O149" s="2"/>
      <c r="AT149" s="37"/>
      <c r="AU149" s="43"/>
      <c r="BH149" s="2"/>
      <c r="BI149" s="38"/>
    </row>
    <row r="150" spans="1:61" s="1" customFormat="1" ht="14.25">
      <c r="A150" s="36"/>
      <c r="D150" s="2"/>
      <c r="G150" s="2"/>
      <c r="H150" s="2"/>
      <c r="I150" s="2"/>
      <c r="J150" s="2"/>
      <c r="K150" s="2"/>
      <c r="L150" s="2"/>
      <c r="M150" s="2"/>
      <c r="N150" s="2"/>
      <c r="O150" s="2"/>
      <c r="AT150" s="37"/>
      <c r="AU150" s="43"/>
      <c r="BH150" s="2"/>
      <c r="BI150" s="38"/>
    </row>
    <row r="151" spans="1:61" s="1" customFormat="1" ht="14.25">
      <c r="A151" s="36"/>
      <c r="D151" s="2"/>
      <c r="G151" s="2"/>
      <c r="H151" s="2"/>
      <c r="I151" s="2"/>
      <c r="J151" s="2"/>
      <c r="K151" s="2"/>
      <c r="L151" s="2"/>
      <c r="M151" s="2"/>
      <c r="N151" s="2"/>
      <c r="O151" s="2"/>
      <c r="AT151" s="37"/>
      <c r="AU151" s="43"/>
      <c r="BH151" s="2"/>
      <c r="BI151" s="38"/>
    </row>
    <row r="152" spans="1:61" s="1" customFormat="1" ht="14.25">
      <c r="A152" s="36"/>
      <c r="D152" s="2"/>
      <c r="G152" s="2"/>
      <c r="H152" s="2"/>
      <c r="I152" s="2"/>
      <c r="J152" s="2"/>
      <c r="K152" s="2"/>
      <c r="L152" s="2"/>
      <c r="M152" s="2"/>
      <c r="N152" s="2"/>
      <c r="O152" s="2"/>
      <c r="AT152" s="37"/>
      <c r="AU152" s="43"/>
      <c r="BH152" s="2"/>
      <c r="BI152" s="38"/>
    </row>
    <row r="153" spans="1:61" s="1" customFormat="1" ht="14.25">
      <c r="A153" s="36"/>
      <c r="D153" s="2"/>
      <c r="G153" s="2"/>
      <c r="H153" s="2"/>
      <c r="I153" s="2"/>
      <c r="J153" s="2"/>
      <c r="K153" s="2"/>
      <c r="L153" s="2"/>
      <c r="M153" s="2"/>
      <c r="N153" s="2"/>
      <c r="O153" s="2"/>
      <c r="AT153" s="37"/>
      <c r="AU153" s="43"/>
      <c r="BH153" s="2"/>
      <c r="BI153" s="38"/>
    </row>
    <row r="154" spans="1:61" s="1" customFormat="1" ht="14.25">
      <c r="A154" s="36"/>
      <c r="D154" s="2"/>
      <c r="G154" s="2"/>
      <c r="H154" s="2"/>
      <c r="I154" s="2"/>
      <c r="J154" s="2"/>
      <c r="K154" s="2"/>
      <c r="L154" s="2"/>
      <c r="M154" s="2"/>
      <c r="N154" s="2"/>
      <c r="O154" s="2"/>
      <c r="AT154" s="37"/>
      <c r="AU154" s="43"/>
      <c r="BH154" s="2"/>
      <c r="BI154" s="38"/>
    </row>
    <row r="155" spans="1:61" s="1" customFormat="1" ht="14.25">
      <c r="A155" s="36"/>
      <c r="D155" s="2"/>
      <c r="G155" s="2"/>
      <c r="H155" s="2"/>
      <c r="I155" s="2"/>
      <c r="J155" s="2"/>
      <c r="K155" s="2"/>
      <c r="L155" s="2"/>
      <c r="M155" s="2"/>
      <c r="N155" s="2"/>
      <c r="O155" s="2"/>
      <c r="AT155" s="37"/>
      <c r="AU155" s="43"/>
      <c r="BH155" s="2"/>
      <c r="BI155" s="38"/>
    </row>
    <row r="156" spans="1:61" s="1" customFormat="1" ht="14.25">
      <c r="A156" s="36"/>
      <c r="D156" s="2"/>
      <c r="G156" s="2"/>
      <c r="H156" s="2"/>
      <c r="I156" s="2"/>
      <c r="J156" s="2"/>
      <c r="K156" s="2"/>
      <c r="L156" s="2"/>
      <c r="M156" s="2"/>
      <c r="N156" s="2"/>
      <c r="O156" s="2"/>
      <c r="AT156" s="37"/>
      <c r="AU156" s="43"/>
      <c r="BH156" s="2"/>
      <c r="BI156" s="38"/>
    </row>
    <row r="157" spans="1:61" s="1" customFormat="1" ht="14.25">
      <c r="A157" s="36"/>
      <c r="D157" s="2"/>
      <c r="G157" s="2"/>
      <c r="H157" s="2"/>
      <c r="I157" s="2"/>
      <c r="J157" s="2"/>
      <c r="K157" s="2"/>
      <c r="L157" s="2"/>
      <c r="M157" s="2"/>
      <c r="N157" s="2"/>
      <c r="O157" s="2"/>
      <c r="AT157" s="37"/>
      <c r="AU157" s="43"/>
      <c r="BH157" s="2"/>
      <c r="BI157" s="38"/>
    </row>
    <row r="158" spans="1:61" s="1" customFormat="1" ht="14.25">
      <c r="A158" s="36"/>
      <c r="D158" s="2"/>
      <c r="G158" s="2"/>
      <c r="H158" s="2"/>
      <c r="I158" s="2"/>
      <c r="J158" s="2"/>
      <c r="K158" s="2"/>
      <c r="L158" s="2"/>
      <c r="M158" s="2"/>
      <c r="N158" s="2"/>
      <c r="O158" s="2"/>
      <c r="AT158" s="37"/>
      <c r="AU158" s="43"/>
      <c r="BH158" s="2"/>
      <c r="BI158" s="38"/>
    </row>
    <row r="159" spans="1:61" s="1" customFormat="1" ht="14.25">
      <c r="A159" s="36"/>
      <c r="D159" s="2"/>
      <c r="G159" s="2"/>
      <c r="H159" s="2"/>
      <c r="I159" s="2"/>
      <c r="J159" s="2"/>
      <c r="K159" s="2"/>
      <c r="L159" s="2"/>
      <c r="M159" s="2"/>
      <c r="N159" s="2"/>
      <c r="O159" s="2"/>
      <c r="AT159" s="37"/>
      <c r="AU159" s="43" t="s">
        <v>344</v>
      </c>
      <c r="BH159" s="2"/>
      <c r="BI159" s="38"/>
    </row>
    <row r="160" spans="1:61" s="1" customFormat="1" ht="14.25">
      <c r="A160" s="36"/>
      <c r="D160" s="2"/>
      <c r="G160" s="2"/>
      <c r="H160" s="2"/>
      <c r="I160" s="2"/>
      <c r="J160" s="2"/>
      <c r="K160" s="2"/>
      <c r="L160" s="2"/>
      <c r="M160" s="2"/>
      <c r="N160" s="2"/>
      <c r="O160" s="2"/>
      <c r="AT160" s="37"/>
      <c r="AU160" s="43"/>
      <c r="BH160" s="2"/>
      <c r="BI160" s="38"/>
    </row>
    <row r="161" spans="1:61" s="1" customFormat="1" ht="14.25">
      <c r="A161" s="36"/>
      <c r="D161" s="2"/>
      <c r="G161" s="2"/>
      <c r="H161" s="2"/>
      <c r="I161" s="2"/>
      <c r="J161" s="2"/>
      <c r="K161" s="2"/>
      <c r="L161" s="2"/>
      <c r="M161" s="2"/>
      <c r="N161" s="2"/>
      <c r="O161" s="2"/>
      <c r="AT161" s="37"/>
      <c r="AU161" s="43"/>
      <c r="BH161" s="2"/>
      <c r="BI161" s="38"/>
    </row>
    <row r="162" spans="1:61" s="1" customFormat="1" ht="14.25">
      <c r="A162" s="36"/>
      <c r="D162" s="2"/>
      <c r="G162" s="2"/>
      <c r="H162" s="2"/>
      <c r="I162" s="2"/>
      <c r="J162" s="2"/>
      <c r="K162" s="2"/>
      <c r="L162" s="2"/>
      <c r="M162" s="2"/>
      <c r="N162" s="2"/>
      <c r="O162" s="2"/>
      <c r="AT162" s="37"/>
      <c r="AU162" s="43"/>
      <c r="BH162" s="2"/>
      <c r="BI162" s="38"/>
    </row>
    <row r="163" spans="1:61" s="1" customFormat="1" ht="14.25">
      <c r="A163" s="36"/>
      <c r="D163" s="2"/>
      <c r="G163" s="2"/>
      <c r="H163" s="2"/>
      <c r="I163" s="2"/>
      <c r="J163" s="2"/>
      <c r="K163" s="2"/>
      <c r="L163" s="2"/>
      <c r="M163" s="2"/>
      <c r="N163" s="2"/>
      <c r="O163" s="2"/>
      <c r="AT163" s="37"/>
      <c r="AU163" s="43"/>
      <c r="BH163" s="2"/>
      <c r="BI163" s="38"/>
    </row>
    <row r="164" spans="1:61" s="1" customFormat="1" ht="14.25">
      <c r="A164" s="36"/>
      <c r="D164" s="2"/>
      <c r="G164" s="2"/>
      <c r="H164" s="2"/>
      <c r="I164" s="2"/>
      <c r="J164" s="2"/>
      <c r="K164" s="2"/>
      <c r="L164" s="2"/>
      <c r="M164" s="2"/>
      <c r="N164" s="2"/>
      <c r="O164" s="2"/>
      <c r="AT164" s="37"/>
      <c r="AU164" s="43"/>
      <c r="BH164" s="2"/>
      <c r="BI164" s="38"/>
    </row>
    <row r="165" spans="1:61" s="1" customFormat="1" ht="14.25">
      <c r="A165" s="36"/>
      <c r="D165" s="2"/>
      <c r="G165" s="2"/>
      <c r="H165" s="2"/>
      <c r="I165" s="2"/>
      <c r="J165" s="2"/>
      <c r="K165" s="2"/>
      <c r="L165" s="2"/>
      <c r="M165" s="2"/>
      <c r="N165" s="2"/>
      <c r="O165" s="2"/>
      <c r="AT165" s="42"/>
      <c r="AU165" s="2"/>
      <c r="AV165" s="2"/>
      <c r="AW165" s="2"/>
      <c r="AX165" s="2"/>
      <c r="AY165" s="2"/>
      <c r="BH165" s="2"/>
      <c r="BI165" s="38"/>
    </row>
    <row r="166" spans="1:61" s="1" customFormat="1" ht="14.25">
      <c r="A166" s="36"/>
      <c r="D166" s="2"/>
      <c r="G166" s="2"/>
      <c r="H166" s="2"/>
      <c r="I166" s="2"/>
      <c r="J166" s="2"/>
      <c r="K166" s="2"/>
      <c r="L166" s="2"/>
      <c r="M166" s="2"/>
      <c r="N166" s="2"/>
      <c r="O166" s="2"/>
      <c r="AE166" s="44"/>
      <c r="AT166" s="4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7"/>
    </row>
    <row r="167" spans="1:61" s="1" customFormat="1" ht="14.25">
      <c r="A167" s="36"/>
      <c r="D167" s="2"/>
      <c r="G167" s="2"/>
      <c r="H167" s="2"/>
      <c r="I167" s="2"/>
      <c r="J167" s="2"/>
      <c r="K167" s="2"/>
      <c r="L167" s="2"/>
      <c r="M167" s="2"/>
      <c r="N167" s="2"/>
      <c r="O167" s="2"/>
      <c r="AE167" s="44"/>
      <c r="AT167" s="4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7"/>
    </row>
    <row r="168" spans="1:61" s="1" customFormat="1" ht="14.25">
      <c r="A168" s="36"/>
      <c r="D168" s="2"/>
      <c r="G168" s="2"/>
      <c r="H168" s="2"/>
      <c r="I168" s="2"/>
      <c r="J168" s="2"/>
      <c r="K168" s="2"/>
      <c r="L168" s="2"/>
      <c r="M168" s="2"/>
      <c r="N168" s="2"/>
      <c r="O168" s="2"/>
      <c r="AE168" s="44"/>
      <c r="AT168" s="4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7"/>
    </row>
    <row r="169" spans="1:61" s="1" customFormat="1" ht="14.25">
      <c r="A169" s="36"/>
      <c r="D169" s="2"/>
      <c r="G169" s="2"/>
      <c r="H169" s="2"/>
      <c r="I169" s="2"/>
      <c r="J169" s="2"/>
      <c r="K169" s="2"/>
      <c r="L169" s="2"/>
      <c r="M169" s="2"/>
      <c r="N169" s="2"/>
      <c r="O169" s="2"/>
      <c r="AE169" s="44"/>
      <c r="AT169" s="4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7"/>
    </row>
    <row r="170" spans="1:61" s="1" customFormat="1" ht="14.25">
      <c r="A170" s="36"/>
      <c r="B170" s="47"/>
      <c r="D170" s="2"/>
      <c r="G170" s="2"/>
      <c r="H170" s="2"/>
      <c r="I170" s="2"/>
      <c r="J170" s="2"/>
      <c r="K170" s="2"/>
      <c r="L170" s="2"/>
      <c r="M170" s="2"/>
      <c r="N170" s="2"/>
      <c r="O170" s="2"/>
      <c r="AT170" s="4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38"/>
    </row>
    <row r="171" spans="1:61" s="1" customFormat="1" ht="14.25">
      <c r="A171" s="71"/>
      <c r="B171" s="72"/>
      <c r="C171" s="31"/>
      <c r="D171" s="4"/>
      <c r="E171" s="31"/>
      <c r="F171" s="31"/>
      <c r="G171" s="4"/>
      <c r="H171" s="4"/>
      <c r="I171" s="4"/>
      <c r="J171" s="4"/>
      <c r="K171" s="4"/>
      <c r="L171" s="4"/>
      <c r="M171" s="4"/>
      <c r="N171" s="4"/>
      <c r="O171" s="4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73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6"/>
    </row>
  </sheetData>
  <mergeCells count="6">
    <mergeCell ref="A5:B5"/>
    <mergeCell ref="A2:Z3"/>
    <mergeCell ref="AP2:AU2"/>
    <mergeCell ref="AP3:AU3"/>
    <mergeCell ref="A4:AS4"/>
    <mergeCell ref="AT4:BI4"/>
  </mergeCells>
  <phoneticPr fontId="3"/>
  <pageMargins left="0.7" right="0.7" top="0.75" bottom="0.75" header="0.3" footer="0.3"/>
  <pageSetup paperSize="9" scale="35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62CE8-6D2F-47FA-8F3F-C4B63BF7992D}">
  <sheetPr>
    <pageSetUpPr fitToPage="1"/>
  </sheetPr>
  <dimension ref="A1:Q365"/>
  <sheetViews>
    <sheetView showGridLines="0" tabSelected="1" view="pageBreakPreview" zoomScaleNormal="90" zoomScaleSheetLayoutView="100" workbookViewId="0"/>
  </sheetViews>
  <sheetFormatPr defaultColWidth="8.75" defaultRowHeight="15.75"/>
  <cols>
    <col min="1" max="1" width="3.75" style="78" customWidth="1"/>
    <col min="2" max="2" width="32" style="78" customWidth="1"/>
    <col min="3" max="3" width="42.875" style="78" customWidth="1"/>
    <col min="4" max="4" width="33.875" style="78" customWidth="1"/>
    <col min="5" max="5" width="34.875" style="78" customWidth="1"/>
    <col min="6" max="6" width="23.25" style="78" customWidth="1"/>
    <col min="7" max="16384" width="8.75" style="78"/>
  </cols>
  <sheetData>
    <row r="1" spans="1:17" s="94" customFormat="1" ht="14.25">
      <c r="D1" s="51" t="s">
        <v>51</v>
      </c>
    </row>
    <row r="2" spans="1:17" s="94" customFormat="1" ht="14.45" customHeight="1" thickBot="1">
      <c r="A2" s="286" t="s">
        <v>105</v>
      </c>
      <c r="B2" s="286"/>
    </row>
    <row r="3" spans="1:17" s="94" customFormat="1" ht="14.45" customHeight="1">
      <c r="A3" s="286"/>
      <c r="B3" s="286"/>
      <c r="C3" s="95" t="s">
        <v>85</v>
      </c>
      <c r="D3" s="96" t="s">
        <v>52</v>
      </c>
    </row>
    <row r="4" spans="1:17" s="94" customFormat="1" ht="15" thickBot="1">
      <c r="C4" s="97" t="s">
        <v>106</v>
      </c>
      <c r="D4" s="98" t="s">
        <v>107</v>
      </c>
    </row>
    <row r="5" spans="1:17" s="94" customFormat="1" ht="14.25"/>
    <row r="6" spans="1:17" s="1" customFormat="1" ht="14.25">
      <c r="A6" s="99" t="s">
        <v>108</v>
      </c>
      <c r="B6" s="145" t="s">
        <v>109</v>
      </c>
      <c r="C6" s="100" t="s">
        <v>110</v>
      </c>
      <c r="D6" s="100" t="s">
        <v>111</v>
      </c>
      <c r="M6" s="162"/>
      <c r="Q6" s="162"/>
    </row>
    <row r="7" spans="1:17" s="1" customFormat="1" ht="14.25">
      <c r="A7" s="163">
        <v>1</v>
      </c>
      <c r="B7" s="164" t="s">
        <v>226</v>
      </c>
      <c r="C7" s="165" t="s">
        <v>169</v>
      </c>
      <c r="D7" s="101"/>
      <c r="M7" s="162"/>
      <c r="Q7" s="162"/>
    </row>
    <row r="8" spans="1:17" s="1" customFormat="1" ht="14.25">
      <c r="A8" s="287" t="s">
        <v>108</v>
      </c>
      <c r="B8" s="287" t="s">
        <v>227</v>
      </c>
      <c r="C8" s="102" t="s">
        <v>112</v>
      </c>
      <c r="D8" s="103"/>
      <c r="K8" s="162"/>
      <c r="O8" s="162"/>
    </row>
    <row r="9" spans="1:17" s="1" customFormat="1" ht="14.25">
      <c r="A9" s="288"/>
      <c r="B9" s="288"/>
      <c r="C9" s="103" t="s">
        <v>113</v>
      </c>
      <c r="D9" s="166"/>
      <c r="L9" s="162"/>
      <c r="P9" s="162"/>
    </row>
    <row r="10" spans="1:17" s="1" customFormat="1" ht="42.75">
      <c r="A10" s="167">
        <v>1</v>
      </c>
      <c r="B10" s="168" t="s">
        <v>228</v>
      </c>
      <c r="C10" s="169" t="s">
        <v>229</v>
      </c>
      <c r="D10" s="170" t="s">
        <v>230</v>
      </c>
    </row>
    <row r="11" spans="1:17" s="94" customFormat="1" ht="14.25"/>
    <row r="12" spans="1:17" s="94" customFormat="1" ht="14.25"/>
    <row r="13" spans="1:17" s="104" customFormat="1" ht="14.25">
      <c r="A13" s="99" t="s">
        <v>108</v>
      </c>
      <c r="B13" s="145" t="s">
        <v>109</v>
      </c>
      <c r="C13" s="100" t="s">
        <v>110</v>
      </c>
      <c r="D13" s="100" t="s">
        <v>111</v>
      </c>
      <c r="L13" s="105"/>
      <c r="P13" s="105"/>
    </row>
    <row r="14" spans="1:17" s="104" customFormat="1" ht="14.25">
      <c r="A14" s="106">
        <v>2</v>
      </c>
      <c r="B14" s="107" t="s">
        <v>178</v>
      </c>
      <c r="C14" s="101" t="s">
        <v>114</v>
      </c>
      <c r="D14" s="101"/>
      <c r="L14" s="105"/>
      <c r="P14" s="105"/>
    </row>
    <row r="15" spans="1:17" s="104" customFormat="1" ht="14.25">
      <c r="A15" s="284" t="s">
        <v>108</v>
      </c>
      <c r="B15" s="284" t="s">
        <v>115</v>
      </c>
      <c r="C15" s="102" t="s">
        <v>112</v>
      </c>
      <c r="D15" s="284"/>
      <c r="J15" s="105"/>
      <c r="N15" s="105"/>
    </row>
    <row r="16" spans="1:17" s="104" customFormat="1" ht="14.25">
      <c r="A16" s="285"/>
      <c r="B16" s="285"/>
      <c r="C16" s="103" t="s">
        <v>113</v>
      </c>
      <c r="D16" s="285"/>
      <c r="K16" s="105"/>
      <c r="O16" s="105"/>
    </row>
    <row r="17" spans="1:15" s="104" customFormat="1" ht="14.25">
      <c r="A17" s="108">
        <v>1</v>
      </c>
      <c r="B17" s="109" t="s">
        <v>167</v>
      </c>
      <c r="C17" s="110" t="s">
        <v>216</v>
      </c>
      <c r="D17" s="111"/>
    </row>
    <row r="18" spans="1:15" s="104" customFormat="1" ht="14.25">
      <c r="A18" s="108">
        <v>2</v>
      </c>
      <c r="B18" s="109" t="s">
        <v>231</v>
      </c>
      <c r="C18" s="110" t="s">
        <v>232</v>
      </c>
      <c r="D18" s="111"/>
    </row>
    <row r="19" spans="1:15" s="104" customFormat="1" ht="14.25">
      <c r="A19" s="108">
        <v>3</v>
      </c>
      <c r="B19" s="109" t="s">
        <v>179</v>
      </c>
      <c r="C19" s="110" t="s">
        <v>217</v>
      </c>
      <c r="D19" s="111"/>
    </row>
    <row r="20" spans="1:15" s="104" customFormat="1" ht="14.25">
      <c r="A20" s="160">
        <v>4</v>
      </c>
      <c r="B20" s="109" t="s">
        <v>212</v>
      </c>
      <c r="C20" s="110" t="s">
        <v>218</v>
      </c>
      <c r="D20" s="114"/>
    </row>
    <row r="21" spans="1:15" s="104" customFormat="1" ht="14.25">
      <c r="A21" s="160">
        <v>5</v>
      </c>
      <c r="B21" s="109" t="s">
        <v>210</v>
      </c>
      <c r="C21" s="110" t="s">
        <v>219</v>
      </c>
      <c r="D21" s="114"/>
    </row>
    <row r="22" spans="1:15" s="104" customFormat="1" ht="14.25">
      <c r="A22" s="160">
        <v>6</v>
      </c>
      <c r="B22" s="109" t="s">
        <v>305</v>
      </c>
      <c r="C22" s="110" t="s">
        <v>306</v>
      </c>
      <c r="D22" s="114"/>
    </row>
    <row r="23" spans="1:15" s="104" customFormat="1" ht="14.25">
      <c r="A23" s="99" t="s">
        <v>116</v>
      </c>
      <c r="B23" s="99"/>
      <c r="C23" s="112" t="s">
        <v>117</v>
      </c>
      <c r="D23" s="146"/>
    </row>
    <row r="24" spans="1:15" s="104" customFormat="1" ht="14.25">
      <c r="A24" s="277" t="s">
        <v>168</v>
      </c>
      <c r="B24" s="278"/>
      <c r="C24" s="113" t="s">
        <v>169</v>
      </c>
      <c r="D24" s="111"/>
      <c r="K24" s="105"/>
      <c r="O24" s="105"/>
    </row>
    <row r="25" spans="1:15" s="104" customFormat="1" ht="14.25">
      <c r="A25" s="279" t="s">
        <v>119</v>
      </c>
      <c r="B25" s="280"/>
      <c r="C25" s="281"/>
      <c r="D25" s="146"/>
      <c r="K25" s="105"/>
      <c r="O25" s="105"/>
    </row>
    <row r="26" spans="1:15" s="104" customFormat="1" ht="37.5" customHeight="1">
      <c r="A26" s="282" t="s">
        <v>301</v>
      </c>
      <c r="B26" s="283"/>
      <c r="C26" s="278"/>
      <c r="D26" s="111"/>
      <c r="K26" s="105"/>
      <c r="O26" s="105"/>
    </row>
    <row r="27" spans="1:15" s="104" customFormat="1" ht="14.25">
      <c r="A27" s="279" t="s">
        <v>120</v>
      </c>
      <c r="B27" s="280"/>
      <c r="C27" s="281"/>
      <c r="D27" s="146"/>
      <c r="K27" s="105"/>
      <c r="O27" s="105"/>
    </row>
    <row r="28" spans="1:15" s="104" customFormat="1" ht="13.5" customHeight="1">
      <c r="A28" s="282" t="s">
        <v>169</v>
      </c>
      <c r="B28" s="283"/>
      <c r="C28" s="278"/>
      <c r="D28" s="115"/>
    </row>
    <row r="29" spans="1:15" s="104" customFormat="1" ht="14.25">
      <c r="A29" s="279" t="s">
        <v>121</v>
      </c>
      <c r="B29" s="280"/>
      <c r="C29" s="281"/>
      <c r="D29" s="146"/>
      <c r="K29" s="105"/>
      <c r="O29" s="105"/>
    </row>
    <row r="30" spans="1:15" s="104" customFormat="1" ht="39.75" customHeight="1">
      <c r="A30" s="282" t="s">
        <v>170</v>
      </c>
      <c r="B30" s="283"/>
      <c r="C30" s="278"/>
      <c r="D30" s="111"/>
    </row>
    <row r="32" spans="1:15">
      <c r="A32" s="78" t="s">
        <v>180</v>
      </c>
    </row>
    <row r="33" spans="1:16">
      <c r="B33" s="78" t="s">
        <v>182</v>
      </c>
    </row>
    <row r="34" spans="1:16">
      <c r="B34" s="78" t="s">
        <v>233</v>
      </c>
    </row>
    <row r="35" spans="1:16">
      <c r="B35" s="78" t="s">
        <v>213</v>
      </c>
    </row>
    <row r="36" spans="1:16">
      <c r="B36" s="78" t="s">
        <v>214</v>
      </c>
    </row>
    <row r="37" spans="1:16">
      <c r="B37" s="78" t="s">
        <v>211</v>
      </c>
    </row>
    <row r="38" spans="1:16">
      <c r="B38" s="78" t="s">
        <v>234</v>
      </c>
    </row>
    <row r="39" spans="1:16">
      <c r="A39" s="78" t="s">
        <v>174</v>
      </c>
    </row>
    <row r="40" spans="1:16">
      <c r="B40" s="78" t="s">
        <v>173</v>
      </c>
    </row>
    <row r="41" spans="1:16">
      <c r="A41" s="78" t="s">
        <v>175</v>
      </c>
    </row>
    <row r="42" spans="1:16">
      <c r="B42" s="78" t="s">
        <v>181</v>
      </c>
    </row>
    <row r="43" spans="1:16">
      <c r="B43" s="78" t="s">
        <v>302</v>
      </c>
    </row>
    <row r="46" spans="1:16" s="104" customFormat="1" ht="14.25">
      <c r="A46" s="99" t="s">
        <v>108</v>
      </c>
      <c r="B46" s="145" t="s">
        <v>109</v>
      </c>
      <c r="C46" s="100" t="s">
        <v>110</v>
      </c>
      <c r="D46" s="100" t="s">
        <v>111</v>
      </c>
      <c r="L46" s="105"/>
      <c r="P46" s="105"/>
    </row>
    <row r="47" spans="1:16" s="104" customFormat="1" ht="14.25">
      <c r="A47" s="106">
        <v>3</v>
      </c>
      <c r="B47" s="107" t="s">
        <v>345</v>
      </c>
      <c r="C47" s="101" t="s">
        <v>114</v>
      </c>
      <c r="D47" s="101" t="s">
        <v>208</v>
      </c>
      <c r="L47" s="105"/>
      <c r="P47" s="105"/>
    </row>
    <row r="48" spans="1:16" s="104" customFormat="1" ht="14.25">
      <c r="A48" s="284" t="s">
        <v>108</v>
      </c>
      <c r="B48" s="284" t="s">
        <v>115</v>
      </c>
      <c r="C48" s="102" t="s">
        <v>112</v>
      </c>
      <c r="D48" s="284"/>
      <c r="J48" s="105"/>
      <c r="N48" s="105"/>
    </row>
    <row r="49" spans="1:15" s="104" customFormat="1" ht="14.25">
      <c r="A49" s="285"/>
      <c r="B49" s="285"/>
      <c r="C49" s="177" t="s">
        <v>113</v>
      </c>
      <c r="D49" s="285"/>
      <c r="K49" s="105"/>
      <c r="O49" s="105"/>
    </row>
    <row r="50" spans="1:15" s="104" customFormat="1" ht="14.25">
      <c r="A50" s="108">
        <v>1</v>
      </c>
      <c r="B50" s="109" t="s">
        <v>187</v>
      </c>
      <c r="C50" s="110" t="s">
        <v>348</v>
      </c>
      <c r="D50" s="111"/>
    </row>
    <row r="51" spans="1:15" s="104" customFormat="1" ht="14.25">
      <c r="A51" s="99" t="s">
        <v>116</v>
      </c>
      <c r="B51" s="99"/>
      <c r="C51" s="112" t="s">
        <v>117</v>
      </c>
      <c r="D51" s="176"/>
    </row>
    <row r="52" spans="1:15" s="104" customFormat="1" ht="14.25">
      <c r="A52" s="277" t="s">
        <v>188</v>
      </c>
      <c r="B52" s="278"/>
      <c r="C52" s="113" t="s">
        <v>169</v>
      </c>
      <c r="D52" s="111"/>
      <c r="K52" s="105"/>
      <c r="O52" s="105"/>
    </row>
    <row r="53" spans="1:15" s="104" customFormat="1" ht="14.25">
      <c r="A53" s="279" t="s">
        <v>119</v>
      </c>
      <c r="B53" s="280"/>
      <c r="C53" s="281"/>
      <c r="D53" s="176"/>
      <c r="K53" s="105"/>
      <c r="O53" s="105"/>
    </row>
    <row r="54" spans="1:15" s="104" customFormat="1" ht="42" customHeight="1">
      <c r="A54" s="282" t="s">
        <v>251</v>
      </c>
      <c r="B54" s="283"/>
      <c r="C54" s="278"/>
      <c r="D54" s="111"/>
      <c r="K54" s="105"/>
      <c r="O54" s="105"/>
    </row>
    <row r="55" spans="1:15" s="104" customFormat="1" ht="14.25">
      <c r="A55" s="279" t="s">
        <v>120</v>
      </c>
      <c r="B55" s="280"/>
      <c r="C55" s="281"/>
      <c r="D55" s="176"/>
      <c r="K55" s="105"/>
      <c r="O55" s="105"/>
    </row>
    <row r="56" spans="1:15" s="104" customFormat="1" ht="13.5" customHeight="1">
      <c r="A56" s="282" t="s">
        <v>169</v>
      </c>
      <c r="B56" s="283"/>
      <c r="C56" s="278"/>
      <c r="D56" s="115"/>
    </row>
    <row r="57" spans="1:15" s="104" customFormat="1" ht="14.25">
      <c r="A57" s="279" t="s">
        <v>121</v>
      </c>
      <c r="B57" s="280"/>
      <c r="C57" s="281"/>
      <c r="D57" s="176"/>
      <c r="K57" s="105"/>
      <c r="O57" s="105"/>
    </row>
    <row r="58" spans="1:15" s="104" customFormat="1" ht="14.25">
      <c r="A58" s="282" t="s">
        <v>169</v>
      </c>
      <c r="B58" s="283"/>
      <c r="C58" s="278"/>
      <c r="D58" s="111"/>
    </row>
    <row r="60" spans="1:15">
      <c r="A60" s="78" t="s">
        <v>180</v>
      </c>
    </row>
    <row r="61" spans="1:15">
      <c r="B61" s="78" t="s">
        <v>346</v>
      </c>
    </row>
    <row r="62" spans="1:15">
      <c r="A62" s="78" t="s">
        <v>174</v>
      </c>
    </row>
    <row r="63" spans="1:15">
      <c r="B63" s="78" t="s">
        <v>188</v>
      </c>
    </row>
    <row r="64" spans="1:15">
      <c r="A64" s="78" t="s">
        <v>175</v>
      </c>
    </row>
    <row r="65" spans="1:16">
      <c r="B65" s="78" t="s">
        <v>236</v>
      </c>
    </row>
    <row r="66" spans="1:16">
      <c r="B66" s="78" t="s">
        <v>235</v>
      </c>
    </row>
    <row r="67" spans="1:16">
      <c r="B67" s="78" t="s">
        <v>240</v>
      </c>
    </row>
    <row r="70" spans="1:16" s="104" customFormat="1" ht="14.25">
      <c r="A70" s="99" t="s">
        <v>108</v>
      </c>
      <c r="B70" s="145" t="s">
        <v>109</v>
      </c>
      <c r="C70" s="100" t="s">
        <v>110</v>
      </c>
      <c r="D70" s="100" t="s">
        <v>111</v>
      </c>
      <c r="L70" s="105"/>
      <c r="P70" s="105"/>
    </row>
    <row r="71" spans="1:16" s="104" customFormat="1" ht="14.25">
      <c r="A71" s="106">
        <v>4</v>
      </c>
      <c r="B71" s="107" t="s">
        <v>191</v>
      </c>
      <c r="C71" s="101" t="s">
        <v>183</v>
      </c>
      <c r="D71" s="101" t="s">
        <v>208</v>
      </c>
      <c r="L71" s="105"/>
      <c r="P71" s="105"/>
    </row>
    <row r="72" spans="1:16" s="104" customFormat="1" ht="14.25">
      <c r="A72" s="284" t="s">
        <v>108</v>
      </c>
      <c r="B72" s="284" t="s">
        <v>115</v>
      </c>
      <c r="C72" s="102" t="s">
        <v>112</v>
      </c>
      <c r="D72" s="284"/>
      <c r="J72" s="105"/>
      <c r="N72" s="105"/>
    </row>
    <row r="73" spans="1:16" s="104" customFormat="1" ht="14.25">
      <c r="A73" s="285"/>
      <c r="B73" s="285"/>
      <c r="C73" s="103" t="s">
        <v>113</v>
      </c>
      <c r="D73" s="285"/>
      <c r="K73" s="105"/>
      <c r="O73" s="105"/>
    </row>
    <row r="74" spans="1:16" s="104" customFormat="1" ht="14.25">
      <c r="A74" s="108">
        <v>1</v>
      </c>
      <c r="B74" s="109" t="s">
        <v>187</v>
      </c>
      <c r="C74" s="110" t="s">
        <v>238</v>
      </c>
      <c r="D74" s="111"/>
    </row>
    <row r="75" spans="1:16" s="104" customFormat="1" ht="14.25">
      <c r="A75" s="99" t="s">
        <v>116</v>
      </c>
      <c r="B75" s="99"/>
      <c r="C75" s="112" t="s">
        <v>117</v>
      </c>
      <c r="D75" s="146"/>
    </row>
    <row r="76" spans="1:16" s="104" customFormat="1" ht="14.25">
      <c r="A76" s="277" t="s">
        <v>188</v>
      </c>
      <c r="B76" s="278"/>
      <c r="C76" s="113" t="s">
        <v>169</v>
      </c>
      <c r="D76" s="111"/>
      <c r="K76" s="105"/>
      <c r="O76" s="105"/>
    </row>
    <row r="77" spans="1:16" s="104" customFormat="1" ht="14.25">
      <c r="A77" s="279" t="s">
        <v>119</v>
      </c>
      <c r="B77" s="280"/>
      <c r="C77" s="281"/>
      <c r="D77" s="146"/>
      <c r="K77" s="105"/>
      <c r="O77" s="105"/>
    </row>
    <row r="78" spans="1:16" s="104" customFormat="1" ht="42" customHeight="1">
      <c r="A78" s="282" t="s">
        <v>251</v>
      </c>
      <c r="B78" s="283"/>
      <c r="C78" s="278"/>
      <c r="D78" s="111"/>
      <c r="K78" s="105"/>
      <c r="O78" s="105"/>
    </row>
    <row r="79" spans="1:16" s="104" customFormat="1" ht="14.25">
      <c r="A79" s="279" t="s">
        <v>120</v>
      </c>
      <c r="B79" s="280"/>
      <c r="C79" s="281"/>
      <c r="D79" s="146"/>
      <c r="K79" s="105"/>
      <c r="O79" s="105"/>
    </row>
    <row r="80" spans="1:16" s="104" customFormat="1" ht="13.5" customHeight="1">
      <c r="A80" s="282" t="s">
        <v>169</v>
      </c>
      <c r="B80" s="283"/>
      <c r="C80" s="278"/>
      <c r="D80" s="115"/>
    </row>
    <row r="81" spans="1:16" s="104" customFormat="1" ht="14.25">
      <c r="A81" s="279" t="s">
        <v>121</v>
      </c>
      <c r="B81" s="280"/>
      <c r="C81" s="281"/>
      <c r="D81" s="146"/>
      <c r="K81" s="105"/>
      <c r="O81" s="105"/>
    </row>
    <row r="82" spans="1:16" s="104" customFormat="1" ht="14.25">
      <c r="A82" s="282" t="s">
        <v>169</v>
      </c>
      <c r="B82" s="283"/>
      <c r="C82" s="278"/>
      <c r="D82" s="111"/>
    </row>
    <row r="84" spans="1:16">
      <c r="A84" s="78" t="s">
        <v>192</v>
      </c>
    </row>
    <row r="85" spans="1:16">
      <c r="B85" s="78" t="s">
        <v>188</v>
      </c>
    </row>
    <row r="86" spans="1:16">
      <c r="A86" s="78" t="s">
        <v>193</v>
      </c>
    </row>
    <row r="87" spans="1:16">
      <c r="B87" s="78" t="s">
        <v>239</v>
      </c>
    </row>
    <row r="88" spans="1:16">
      <c r="A88" s="78" t="s">
        <v>175</v>
      </c>
    </row>
    <row r="89" spans="1:16">
      <c r="B89" s="78" t="s">
        <v>236</v>
      </c>
    </row>
    <row r="90" spans="1:16">
      <c r="B90" s="78" t="s">
        <v>235</v>
      </c>
    </row>
    <row r="91" spans="1:16">
      <c r="B91" s="78" t="s">
        <v>240</v>
      </c>
    </row>
    <row r="94" spans="1:16" s="104" customFormat="1" ht="14.25">
      <c r="A94" s="99" t="s">
        <v>108</v>
      </c>
      <c r="B94" s="145" t="s">
        <v>109</v>
      </c>
      <c r="C94" s="100" t="s">
        <v>110</v>
      </c>
      <c r="D94" s="100" t="s">
        <v>111</v>
      </c>
      <c r="L94" s="105"/>
      <c r="P94" s="105"/>
    </row>
    <row r="95" spans="1:16" s="104" customFormat="1" ht="14.25">
      <c r="A95" s="106">
        <v>5</v>
      </c>
      <c r="B95" s="107" t="s">
        <v>308</v>
      </c>
      <c r="C95" s="101" t="s">
        <v>171</v>
      </c>
      <c r="D95" s="101" t="s">
        <v>208</v>
      </c>
      <c r="L95" s="105"/>
      <c r="P95" s="105"/>
    </row>
    <row r="96" spans="1:16" s="104" customFormat="1" ht="14.25">
      <c r="A96" s="284" t="s">
        <v>108</v>
      </c>
      <c r="B96" s="284" t="s">
        <v>115</v>
      </c>
      <c r="C96" s="102" t="s">
        <v>112</v>
      </c>
      <c r="D96" s="284"/>
      <c r="J96" s="105"/>
      <c r="N96" s="105"/>
    </row>
    <row r="97" spans="1:15" s="104" customFormat="1" ht="14.25">
      <c r="A97" s="285"/>
      <c r="B97" s="285"/>
      <c r="C97" s="175" t="s">
        <v>113</v>
      </c>
      <c r="D97" s="285"/>
      <c r="K97" s="105"/>
      <c r="O97" s="105"/>
    </row>
    <row r="98" spans="1:15" s="104" customFormat="1" ht="14.25">
      <c r="A98" s="108">
        <v>1</v>
      </c>
      <c r="B98" s="109" t="s">
        <v>169</v>
      </c>
      <c r="C98" s="110" t="s">
        <v>169</v>
      </c>
      <c r="D98" s="111"/>
    </row>
    <row r="99" spans="1:15" s="104" customFormat="1" ht="14.25">
      <c r="A99" s="99" t="s">
        <v>116</v>
      </c>
      <c r="B99" s="99"/>
      <c r="C99" s="112" t="s">
        <v>117</v>
      </c>
      <c r="D99" s="174"/>
    </row>
    <row r="100" spans="1:15" s="104" customFormat="1" ht="14.25">
      <c r="A100" s="277" t="s">
        <v>173</v>
      </c>
      <c r="B100" s="278"/>
      <c r="C100" s="113" t="s">
        <v>169</v>
      </c>
      <c r="D100" s="111"/>
      <c r="K100" s="105"/>
      <c r="O100" s="105"/>
    </row>
    <row r="101" spans="1:15" s="104" customFormat="1" ht="14.25">
      <c r="A101" s="277" t="s">
        <v>188</v>
      </c>
      <c r="B101" s="278"/>
      <c r="C101" s="113" t="s">
        <v>169</v>
      </c>
      <c r="D101" s="111"/>
      <c r="K101" s="105"/>
      <c r="O101" s="105"/>
    </row>
    <row r="102" spans="1:15" s="104" customFormat="1" ht="14.25">
      <c r="A102" s="279" t="s">
        <v>119</v>
      </c>
      <c r="B102" s="280"/>
      <c r="C102" s="281"/>
      <c r="D102" s="174"/>
      <c r="K102" s="105"/>
      <c r="O102" s="105"/>
    </row>
    <row r="103" spans="1:15" s="104" customFormat="1" ht="14.25">
      <c r="A103" s="282" t="s">
        <v>255</v>
      </c>
      <c r="B103" s="283"/>
      <c r="C103" s="278"/>
      <c r="D103" s="111"/>
      <c r="K103" s="105"/>
      <c r="O103" s="105"/>
    </row>
    <row r="104" spans="1:15" s="104" customFormat="1" ht="14.25">
      <c r="A104" s="279" t="s">
        <v>120</v>
      </c>
      <c r="B104" s="280"/>
      <c r="C104" s="281"/>
      <c r="D104" s="174"/>
      <c r="K104" s="105"/>
      <c r="O104" s="105"/>
    </row>
    <row r="105" spans="1:15" s="104" customFormat="1" ht="13.5" customHeight="1">
      <c r="A105" s="282" t="s">
        <v>169</v>
      </c>
      <c r="B105" s="283"/>
      <c r="C105" s="278"/>
      <c r="D105" s="115"/>
    </row>
    <row r="106" spans="1:15" s="104" customFormat="1" ht="14.25">
      <c r="A106" s="279" t="s">
        <v>121</v>
      </c>
      <c r="B106" s="280"/>
      <c r="C106" s="281"/>
      <c r="D106" s="174"/>
      <c r="K106" s="105"/>
      <c r="O106" s="105"/>
    </row>
    <row r="107" spans="1:15" s="104" customFormat="1" ht="14.25">
      <c r="A107" s="282" t="s">
        <v>169</v>
      </c>
      <c r="B107" s="283"/>
      <c r="C107" s="278"/>
      <c r="D107" s="111"/>
    </row>
    <row r="109" spans="1:15">
      <c r="A109" s="78" t="s">
        <v>172</v>
      </c>
    </row>
    <row r="110" spans="1:15">
      <c r="B110" s="78" t="s">
        <v>237</v>
      </c>
    </row>
    <row r="111" spans="1:15">
      <c r="A111" s="78" t="s">
        <v>175</v>
      </c>
    </row>
    <row r="112" spans="1:15">
      <c r="B112" s="78" t="s">
        <v>254</v>
      </c>
    </row>
    <row r="113" spans="1:16">
      <c r="B113" s="78" t="s">
        <v>252</v>
      </c>
    </row>
    <row r="114" spans="1:16">
      <c r="B114" s="78" t="s">
        <v>253</v>
      </c>
    </row>
    <row r="117" spans="1:16" s="104" customFormat="1" ht="14.25">
      <c r="A117" s="99" t="s">
        <v>108</v>
      </c>
      <c r="B117" s="145" t="s">
        <v>109</v>
      </c>
      <c r="C117" s="100" t="s">
        <v>110</v>
      </c>
      <c r="D117" s="100" t="s">
        <v>111</v>
      </c>
      <c r="L117" s="105"/>
      <c r="P117" s="105"/>
    </row>
    <row r="118" spans="1:16" s="104" customFormat="1" ht="14.25">
      <c r="A118" s="106">
        <v>6</v>
      </c>
      <c r="B118" s="107" t="s">
        <v>347</v>
      </c>
      <c r="C118" s="101" t="s">
        <v>114</v>
      </c>
      <c r="D118" s="101" t="s">
        <v>208</v>
      </c>
      <c r="L118" s="105"/>
      <c r="P118" s="105"/>
    </row>
    <row r="119" spans="1:16" s="104" customFormat="1" ht="14.25">
      <c r="A119" s="284" t="s">
        <v>108</v>
      </c>
      <c r="B119" s="284" t="s">
        <v>115</v>
      </c>
      <c r="C119" s="102" t="s">
        <v>112</v>
      </c>
      <c r="D119" s="284"/>
      <c r="J119" s="105"/>
      <c r="N119" s="105"/>
    </row>
    <row r="120" spans="1:16" s="104" customFormat="1" ht="14.25">
      <c r="A120" s="285"/>
      <c r="B120" s="285"/>
      <c r="C120" s="177" t="s">
        <v>113</v>
      </c>
      <c r="D120" s="285"/>
      <c r="K120" s="105"/>
      <c r="O120" s="105"/>
    </row>
    <row r="121" spans="1:16" s="104" customFormat="1" ht="14.25">
      <c r="A121" s="108">
        <v>1</v>
      </c>
      <c r="B121" s="109" t="s">
        <v>187</v>
      </c>
      <c r="C121" s="110" t="s">
        <v>348</v>
      </c>
      <c r="D121" s="111"/>
    </row>
    <row r="122" spans="1:16" s="104" customFormat="1" ht="14.25">
      <c r="A122" s="99" t="s">
        <v>116</v>
      </c>
      <c r="B122" s="99"/>
      <c r="C122" s="112" t="s">
        <v>117</v>
      </c>
      <c r="D122" s="176"/>
    </row>
    <row r="123" spans="1:16" s="104" customFormat="1" ht="14.25">
      <c r="A123" s="277" t="s">
        <v>188</v>
      </c>
      <c r="B123" s="278"/>
      <c r="C123" s="113" t="s">
        <v>169</v>
      </c>
      <c r="D123" s="111"/>
      <c r="K123" s="105"/>
      <c r="O123" s="105"/>
    </row>
    <row r="124" spans="1:16" s="104" customFormat="1" ht="14.25">
      <c r="A124" s="279" t="s">
        <v>119</v>
      </c>
      <c r="B124" s="280"/>
      <c r="C124" s="281"/>
      <c r="D124" s="176"/>
      <c r="K124" s="105"/>
      <c r="O124" s="105"/>
    </row>
    <row r="125" spans="1:16" s="104" customFormat="1" ht="42" customHeight="1">
      <c r="A125" s="282" t="s">
        <v>349</v>
      </c>
      <c r="B125" s="283"/>
      <c r="C125" s="278"/>
      <c r="D125" s="111"/>
      <c r="K125" s="105"/>
      <c r="O125" s="105"/>
    </row>
    <row r="126" spans="1:16" s="104" customFormat="1" ht="14.25">
      <c r="A126" s="279" t="s">
        <v>120</v>
      </c>
      <c r="B126" s="280"/>
      <c r="C126" s="281"/>
      <c r="D126" s="176"/>
      <c r="K126" s="105"/>
      <c r="O126" s="105"/>
    </row>
    <row r="127" spans="1:16" s="104" customFormat="1" ht="13.5" customHeight="1">
      <c r="A127" s="282" t="s">
        <v>169</v>
      </c>
      <c r="B127" s="283"/>
      <c r="C127" s="278"/>
      <c r="D127" s="115"/>
    </row>
    <row r="128" spans="1:16" s="104" customFormat="1" ht="14.25">
      <c r="A128" s="279" t="s">
        <v>121</v>
      </c>
      <c r="B128" s="280"/>
      <c r="C128" s="281"/>
      <c r="D128" s="176"/>
      <c r="K128" s="105"/>
      <c r="O128" s="105"/>
    </row>
    <row r="129" spans="1:16" s="104" customFormat="1" ht="14.25">
      <c r="A129" s="282" t="s">
        <v>169</v>
      </c>
      <c r="B129" s="283"/>
      <c r="C129" s="278"/>
      <c r="D129" s="111"/>
    </row>
    <row r="131" spans="1:16">
      <c r="A131" s="78" t="s">
        <v>180</v>
      </c>
    </row>
    <row r="132" spans="1:16">
      <c r="B132" s="78" t="s">
        <v>346</v>
      </c>
    </row>
    <row r="133" spans="1:16">
      <c r="A133" s="78" t="s">
        <v>174</v>
      </c>
    </row>
    <row r="134" spans="1:16">
      <c r="B134" s="78" t="s">
        <v>188</v>
      </c>
    </row>
    <row r="135" spans="1:16">
      <c r="A135" s="78" t="s">
        <v>175</v>
      </c>
    </row>
    <row r="136" spans="1:16">
      <c r="B136" s="78" t="s">
        <v>236</v>
      </c>
    </row>
    <row r="137" spans="1:16">
      <c r="B137" s="78" t="s">
        <v>235</v>
      </c>
    </row>
    <row r="138" spans="1:16">
      <c r="B138" s="78" t="s">
        <v>350</v>
      </c>
    </row>
    <row r="141" spans="1:16" s="104" customFormat="1" ht="14.25">
      <c r="A141" s="99" t="s">
        <v>108</v>
      </c>
      <c r="B141" s="145" t="s">
        <v>109</v>
      </c>
      <c r="C141" s="100" t="s">
        <v>110</v>
      </c>
      <c r="D141" s="100" t="s">
        <v>111</v>
      </c>
      <c r="L141" s="105"/>
      <c r="P141" s="105"/>
    </row>
    <row r="142" spans="1:16" s="104" customFormat="1" ht="14.25">
      <c r="A142" s="106">
        <v>8</v>
      </c>
      <c r="B142" s="107" t="s">
        <v>281</v>
      </c>
      <c r="C142" s="101" t="s">
        <v>114</v>
      </c>
      <c r="D142" s="101" t="s">
        <v>208</v>
      </c>
      <c r="L142" s="105"/>
      <c r="P142" s="105"/>
    </row>
    <row r="143" spans="1:16" s="104" customFormat="1" ht="14.25">
      <c r="A143" s="284" t="s">
        <v>108</v>
      </c>
      <c r="B143" s="284" t="s">
        <v>115</v>
      </c>
      <c r="C143" s="102" t="s">
        <v>112</v>
      </c>
      <c r="D143" s="284"/>
      <c r="J143" s="105"/>
      <c r="N143" s="105"/>
    </row>
    <row r="144" spans="1:16" s="104" customFormat="1" ht="14.25">
      <c r="A144" s="285"/>
      <c r="B144" s="285"/>
      <c r="C144" s="173" t="s">
        <v>113</v>
      </c>
      <c r="D144" s="285"/>
      <c r="K144" s="105"/>
      <c r="O144" s="105"/>
    </row>
    <row r="145" spans="1:15" s="104" customFormat="1" ht="14.25">
      <c r="A145" s="108">
        <v>1</v>
      </c>
      <c r="B145" s="109" t="s">
        <v>282</v>
      </c>
      <c r="C145" s="110" t="s">
        <v>310</v>
      </c>
      <c r="D145" s="111"/>
    </row>
    <row r="146" spans="1:15" s="104" customFormat="1" ht="14.25">
      <c r="A146" s="99" t="s">
        <v>116</v>
      </c>
      <c r="B146" s="99"/>
      <c r="C146" s="112" t="s">
        <v>117</v>
      </c>
      <c r="D146" s="171"/>
    </row>
    <row r="147" spans="1:15" s="104" customFormat="1" ht="14.25">
      <c r="A147" s="277" t="s">
        <v>199</v>
      </c>
      <c r="B147" s="278"/>
      <c r="C147" s="113" t="s">
        <v>169</v>
      </c>
      <c r="D147" s="111" t="s">
        <v>283</v>
      </c>
      <c r="K147" s="105"/>
      <c r="O147" s="105"/>
    </row>
    <row r="148" spans="1:15" s="104" customFormat="1" ht="14.25">
      <c r="A148" s="277" t="s">
        <v>200</v>
      </c>
      <c r="B148" s="278"/>
      <c r="C148" s="113" t="s">
        <v>169</v>
      </c>
      <c r="D148" s="111" t="s">
        <v>284</v>
      </c>
      <c r="K148" s="105"/>
      <c r="O148" s="105"/>
    </row>
    <row r="149" spans="1:15" s="104" customFormat="1" ht="14.25">
      <c r="A149" s="277" t="s">
        <v>201</v>
      </c>
      <c r="B149" s="278"/>
      <c r="C149" s="113" t="s">
        <v>169</v>
      </c>
      <c r="D149" s="111" t="s">
        <v>285</v>
      </c>
      <c r="K149" s="105"/>
      <c r="O149" s="105"/>
    </row>
    <row r="150" spans="1:15" s="104" customFormat="1" ht="14.25">
      <c r="A150" s="277" t="s">
        <v>202</v>
      </c>
      <c r="B150" s="278"/>
      <c r="C150" s="113" t="s">
        <v>169</v>
      </c>
      <c r="D150" s="111" t="s">
        <v>286</v>
      </c>
      <c r="K150" s="105"/>
      <c r="O150" s="105"/>
    </row>
    <row r="151" spans="1:15" s="104" customFormat="1" ht="14.25">
      <c r="A151" s="277" t="s">
        <v>203</v>
      </c>
      <c r="B151" s="278"/>
      <c r="C151" s="113" t="s">
        <v>169</v>
      </c>
      <c r="D151" s="111" t="s">
        <v>287</v>
      </c>
      <c r="K151" s="105"/>
      <c r="O151" s="105"/>
    </row>
    <row r="152" spans="1:15" s="104" customFormat="1" ht="14.25">
      <c r="A152" s="277" t="s">
        <v>194</v>
      </c>
      <c r="B152" s="278"/>
      <c r="C152" s="113" t="s">
        <v>169</v>
      </c>
      <c r="D152" s="111" t="s">
        <v>288</v>
      </c>
      <c r="K152" s="105"/>
      <c r="O152" s="105"/>
    </row>
    <row r="153" spans="1:15" s="104" customFormat="1" ht="14.25">
      <c r="A153" s="277" t="s">
        <v>195</v>
      </c>
      <c r="B153" s="278"/>
      <c r="C153" s="113" t="s">
        <v>169</v>
      </c>
      <c r="D153" s="111" t="s">
        <v>289</v>
      </c>
      <c r="K153" s="105"/>
      <c r="O153" s="105"/>
    </row>
    <row r="154" spans="1:15" s="104" customFormat="1" ht="14.25">
      <c r="A154" s="159" t="s">
        <v>197</v>
      </c>
      <c r="B154" s="172"/>
      <c r="C154" s="113" t="s">
        <v>169</v>
      </c>
      <c r="D154" s="111" t="s">
        <v>290</v>
      </c>
      <c r="K154" s="105"/>
      <c r="O154" s="105"/>
    </row>
    <row r="155" spans="1:15" s="104" customFormat="1" ht="14.25">
      <c r="A155" s="279" t="s">
        <v>119</v>
      </c>
      <c r="B155" s="280"/>
      <c r="C155" s="281"/>
      <c r="D155" s="171"/>
      <c r="K155" s="105"/>
      <c r="O155" s="105"/>
    </row>
    <row r="156" spans="1:15" s="104" customFormat="1" ht="29.25" customHeight="1">
      <c r="A156" s="282" t="s">
        <v>331</v>
      </c>
      <c r="B156" s="283"/>
      <c r="C156" s="278"/>
      <c r="D156" s="111"/>
      <c r="K156" s="105"/>
      <c r="O156" s="105"/>
    </row>
    <row r="157" spans="1:15" s="104" customFormat="1" ht="14.25">
      <c r="A157" s="279" t="s">
        <v>120</v>
      </c>
      <c r="B157" s="280"/>
      <c r="C157" s="281"/>
      <c r="D157" s="171"/>
      <c r="K157" s="105"/>
      <c r="O157" s="105"/>
    </row>
    <row r="158" spans="1:15" s="104" customFormat="1" ht="13.5" customHeight="1">
      <c r="A158" s="282" t="s">
        <v>169</v>
      </c>
      <c r="B158" s="283"/>
      <c r="C158" s="278"/>
      <c r="D158" s="115"/>
    </row>
    <row r="159" spans="1:15" s="104" customFormat="1" ht="14.25">
      <c r="A159" s="279" t="s">
        <v>121</v>
      </c>
      <c r="B159" s="280"/>
      <c r="C159" s="281"/>
      <c r="D159" s="171"/>
      <c r="K159" s="105"/>
      <c r="O159" s="105"/>
    </row>
    <row r="160" spans="1:15" s="104" customFormat="1" ht="14.25">
      <c r="A160" s="282" t="s">
        <v>169</v>
      </c>
      <c r="B160" s="283"/>
      <c r="C160" s="278"/>
      <c r="D160" s="111"/>
    </row>
    <row r="162" spans="1:2">
      <c r="A162" s="78" t="s">
        <v>180</v>
      </c>
    </row>
    <row r="163" spans="1:2">
      <c r="B163" s="78" t="s">
        <v>311</v>
      </c>
    </row>
    <row r="164" spans="1:2">
      <c r="B164" s="78" t="s">
        <v>312</v>
      </c>
    </row>
    <row r="165" spans="1:2">
      <c r="B165" s="78" t="s">
        <v>314</v>
      </c>
    </row>
    <row r="166" spans="1:2">
      <c r="B166" s="78" t="s">
        <v>315</v>
      </c>
    </row>
    <row r="167" spans="1:2">
      <c r="B167" s="78" t="s">
        <v>313</v>
      </c>
    </row>
    <row r="169" spans="1:2">
      <c r="B169" s="78" t="s">
        <v>311</v>
      </c>
    </row>
    <row r="170" spans="1:2">
      <c r="B170" s="78" t="s">
        <v>312</v>
      </c>
    </row>
    <row r="171" spans="1:2">
      <c r="B171" s="78" t="s">
        <v>317</v>
      </c>
    </row>
    <row r="172" spans="1:2">
      <c r="B172" s="78" t="s">
        <v>315</v>
      </c>
    </row>
    <row r="173" spans="1:2">
      <c r="B173" s="78" t="s">
        <v>316</v>
      </c>
    </row>
    <row r="175" spans="1:2">
      <c r="B175" s="78" t="s">
        <v>311</v>
      </c>
    </row>
    <row r="176" spans="1:2">
      <c r="B176" s="78" t="s">
        <v>312</v>
      </c>
    </row>
    <row r="177" spans="2:2">
      <c r="B177" s="78" t="s">
        <v>318</v>
      </c>
    </row>
    <row r="178" spans="2:2">
      <c r="B178" s="78" t="s">
        <v>315</v>
      </c>
    </row>
    <row r="179" spans="2:2">
      <c r="B179" s="78" t="s">
        <v>319</v>
      </c>
    </row>
    <row r="181" spans="2:2">
      <c r="B181" s="78" t="s">
        <v>311</v>
      </c>
    </row>
    <row r="182" spans="2:2">
      <c r="B182" s="78" t="s">
        <v>312</v>
      </c>
    </row>
    <row r="183" spans="2:2">
      <c r="B183" s="78" t="s">
        <v>320</v>
      </c>
    </row>
    <row r="184" spans="2:2">
      <c r="B184" s="78" t="s">
        <v>315</v>
      </c>
    </row>
    <row r="185" spans="2:2">
      <c r="B185" s="78" t="s">
        <v>322</v>
      </c>
    </row>
    <row r="187" spans="2:2">
      <c r="B187" s="78" t="s">
        <v>311</v>
      </c>
    </row>
    <row r="188" spans="2:2">
      <c r="B188" s="78" t="s">
        <v>312</v>
      </c>
    </row>
    <row r="189" spans="2:2">
      <c r="B189" s="78" t="s">
        <v>321</v>
      </c>
    </row>
    <row r="190" spans="2:2">
      <c r="B190" s="78" t="s">
        <v>315</v>
      </c>
    </row>
    <row r="191" spans="2:2">
      <c r="B191" s="78" t="s">
        <v>323</v>
      </c>
    </row>
    <row r="193" spans="2:2">
      <c r="B193" s="78" t="s">
        <v>311</v>
      </c>
    </row>
    <row r="194" spans="2:2">
      <c r="B194" s="78" t="s">
        <v>312</v>
      </c>
    </row>
    <row r="195" spans="2:2">
      <c r="B195" s="78" t="s">
        <v>324</v>
      </c>
    </row>
    <row r="196" spans="2:2">
      <c r="B196" s="78" t="s">
        <v>325</v>
      </c>
    </row>
    <row r="197" spans="2:2">
      <c r="B197" s="78" t="s">
        <v>326</v>
      </c>
    </row>
    <row r="199" spans="2:2">
      <c r="B199" s="78" t="s">
        <v>311</v>
      </c>
    </row>
    <row r="200" spans="2:2">
      <c r="B200" s="78" t="s">
        <v>312</v>
      </c>
    </row>
    <row r="201" spans="2:2">
      <c r="B201" s="78" t="s">
        <v>327</v>
      </c>
    </row>
    <row r="202" spans="2:2">
      <c r="B202" s="78" t="s">
        <v>315</v>
      </c>
    </row>
    <row r="203" spans="2:2">
      <c r="B203" s="78" t="s">
        <v>328</v>
      </c>
    </row>
    <row r="205" spans="2:2">
      <c r="B205" s="78" t="s">
        <v>311</v>
      </c>
    </row>
    <row r="206" spans="2:2">
      <c r="B206" s="78" t="s">
        <v>312</v>
      </c>
    </row>
    <row r="207" spans="2:2">
      <c r="B207" s="78" t="s">
        <v>329</v>
      </c>
    </row>
    <row r="208" spans="2:2">
      <c r="B208" s="78" t="s">
        <v>315</v>
      </c>
    </row>
    <row r="209" spans="1:16">
      <c r="B209" s="78" t="s">
        <v>330</v>
      </c>
    </row>
    <row r="212" spans="1:16" s="104" customFormat="1" ht="14.25">
      <c r="A212" s="99" t="s">
        <v>108</v>
      </c>
      <c r="B212" s="145" t="s">
        <v>109</v>
      </c>
      <c r="C212" s="100" t="s">
        <v>110</v>
      </c>
      <c r="D212" s="100" t="s">
        <v>111</v>
      </c>
      <c r="L212" s="105"/>
      <c r="P212" s="105"/>
    </row>
    <row r="213" spans="1:16" s="104" customFormat="1" ht="28.5">
      <c r="A213" s="106">
        <v>10</v>
      </c>
      <c r="B213" s="107" t="s">
        <v>220</v>
      </c>
      <c r="C213" s="101" t="s">
        <v>183</v>
      </c>
      <c r="D213" s="101" t="s">
        <v>250</v>
      </c>
      <c r="L213" s="105"/>
      <c r="P213" s="105"/>
    </row>
    <row r="214" spans="1:16" s="104" customFormat="1" ht="14.25">
      <c r="A214" s="284" t="s">
        <v>108</v>
      </c>
      <c r="B214" s="284" t="s">
        <v>115</v>
      </c>
      <c r="C214" s="102" t="s">
        <v>112</v>
      </c>
      <c r="D214" s="284"/>
      <c r="J214" s="105"/>
      <c r="N214" s="105"/>
    </row>
    <row r="215" spans="1:16" s="104" customFormat="1" ht="14.25">
      <c r="A215" s="285"/>
      <c r="B215" s="285"/>
      <c r="C215" s="103" t="s">
        <v>113</v>
      </c>
      <c r="D215" s="285"/>
      <c r="K215" s="105"/>
      <c r="O215" s="105"/>
    </row>
    <row r="216" spans="1:16" s="104" customFormat="1" ht="14.25">
      <c r="A216" s="108">
        <v>1</v>
      </c>
      <c r="B216" s="109" t="s">
        <v>186</v>
      </c>
      <c r="C216" s="110" t="s">
        <v>241</v>
      </c>
      <c r="D216" s="111"/>
    </row>
    <row r="217" spans="1:16" s="104" customFormat="1" ht="14.25">
      <c r="A217" s="99" t="s">
        <v>116</v>
      </c>
      <c r="B217" s="99"/>
      <c r="C217" s="112" t="s">
        <v>117</v>
      </c>
      <c r="D217" s="146"/>
    </row>
    <row r="218" spans="1:16" s="104" customFormat="1" ht="14.25">
      <c r="A218" s="277" t="s">
        <v>199</v>
      </c>
      <c r="B218" s="278"/>
      <c r="C218" s="113" t="s">
        <v>169</v>
      </c>
      <c r="D218" s="111"/>
      <c r="K218" s="105"/>
      <c r="O218" s="105"/>
    </row>
    <row r="219" spans="1:16" s="104" customFormat="1" ht="14.25">
      <c r="A219" s="277" t="s">
        <v>200</v>
      </c>
      <c r="B219" s="278"/>
      <c r="C219" s="113" t="s">
        <v>169</v>
      </c>
      <c r="D219" s="111"/>
      <c r="K219" s="105"/>
      <c r="O219" s="105"/>
    </row>
    <row r="220" spans="1:16" s="104" customFormat="1" ht="14.25">
      <c r="A220" s="277" t="s">
        <v>201</v>
      </c>
      <c r="B220" s="278"/>
      <c r="C220" s="113" t="s">
        <v>169</v>
      </c>
      <c r="D220" s="114"/>
      <c r="K220" s="105"/>
      <c r="O220" s="105"/>
    </row>
    <row r="221" spans="1:16" s="104" customFormat="1" ht="14.25" customHeight="1">
      <c r="A221" s="277" t="s">
        <v>202</v>
      </c>
      <c r="B221" s="278"/>
      <c r="C221" s="113" t="s">
        <v>169</v>
      </c>
      <c r="D221" s="114"/>
      <c r="K221" s="105"/>
      <c r="O221" s="105"/>
    </row>
    <row r="222" spans="1:16" s="104" customFormat="1" ht="14.25">
      <c r="A222" s="277" t="s">
        <v>203</v>
      </c>
      <c r="B222" s="278"/>
      <c r="C222" s="113" t="s">
        <v>169</v>
      </c>
      <c r="D222" s="114"/>
      <c r="K222" s="105"/>
      <c r="O222" s="105"/>
    </row>
    <row r="223" spans="1:16" s="104" customFormat="1" ht="14.25">
      <c r="A223" s="277" t="s">
        <v>194</v>
      </c>
      <c r="B223" s="278"/>
      <c r="C223" s="113" t="s">
        <v>169</v>
      </c>
      <c r="D223" s="111"/>
      <c r="K223" s="105"/>
      <c r="O223" s="105"/>
    </row>
    <row r="224" spans="1:16" s="104" customFormat="1" ht="14.25">
      <c r="A224" s="277" t="s">
        <v>195</v>
      </c>
      <c r="B224" s="278"/>
      <c r="C224" s="113" t="s">
        <v>169</v>
      </c>
      <c r="D224" s="111"/>
      <c r="K224" s="105"/>
      <c r="O224" s="105"/>
    </row>
    <row r="225" spans="1:15" s="104" customFormat="1" ht="14.25">
      <c r="A225" s="159" t="s">
        <v>197</v>
      </c>
      <c r="B225" s="161"/>
      <c r="C225" s="113" t="s">
        <v>169</v>
      </c>
      <c r="D225" s="114"/>
      <c r="K225" s="105"/>
      <c r="O225" s="105"/>
    </row>
    <row r="226" spans="1:15" s="104" customFormat="1" ht="14.25">
      <c r="A226" s="279" t="s">
        <v>119</v>
      </c>
      <c r="B226" s="280"/>
      <c r="C226" s="281"/>
      <c r="D226" s="146"/>
      <c r="K226" s="105"/>
      <c r="O226" s="105"/>
    </row>
    <row r="227" spans="1:15" s="104" customFormat="1" ht="337.5" customHeight="1">
      <c r="A227" s="282" t="s">
        <v>309</v>
      </c>
      <c r="B227" s="283"/>
      <c r="C227" s="278"/>
      <c r="D227" s="111"/>
      <c r="K227" s="105"/>
      <c r="O227" s="105"/>
    </row>
    <row r="228" spans="1:15" s="104" customFormat="1" ht="14.25">
      <c r="A228" s="279" t="s">
        <v>120</v>
      </c>
      <c r="B228" s="280"/>
      <c r="C228" s="281"/>
      <c r="D228" s="146"/>
      <c r="K228" s="105"/>
      <c r="O228" s="105"/>
    </row>
    <row r="229" spans="1:15" s="104" customFormat="1" ht="13.5" customHeight="1">
      <c r="A229" s="282" t="s">
        <v>169</v>
      </c>
      <c r="B229" s="283"/>
      <c r="C229" s="278"/>
      <c r="D229" s="115"/>
    </row>
    <row r="230" spans="1:15" s="104" customFormat="1" ht="14.25">
      <c r="A230" s="279" t="s">
        <v>121</v>
      </c>
      <c r="B230" s="280"/>
      <c r="C230" s="281"/>
      <c r="D230" s="146"/>
      <c r="K230" s="105"/>
      <c r="O230" s="105"/>
    </row>
    <row r="231" spans="1:15" s="104" customFormat="1" ht="14.25">
      <c r="A231" s="282" t="s">
        <v>169</v>
      </c>
      <c r="B231" s="283"/>
      <c r="C231" s="278"/>
      <c r="D231" s="111"/>
    </row>
    <row r="232" spans="1:15">
      <c r="A232" s="116"/>
      <c r="B232" s="116"/>
    </row>
    <row r="233" spans="1:15">
      <c r="A233" s="78" t="s">
        <v>192</v>
      </c>
    </row>
    <row r="234" spans="1:15">
      <c r="B234" s="78" t="s">
        <v>204</v>
      </c>
    </row>
    <row r="235" spans="1:15">
      <c r="A235" s="78" t="s">
        <v>193</v>
      </c>
    </row>
    <row r="236" spans="1:15">
      <c r="B236" s="78" t="s">
        <v>242</v>
      </c>
    </row>
    <row r="237" spans="1:15">
      <c r="A237" s="78" t="s">
        <v>175</v>
      </c>
    </row>
    <row r="238" spans="1:15">
      <c r="B238" s="78" t="s">
        <v>269</v>
      </c>
    </row>
    <row r="239" spans="1:15">
      <c r="B239" s="78" t="s">
        <v>262</v>
      </c>
    </row>
    <row r="240" spans="1:15">
      <c r="B240" s="78" t="s">
        <v>268</v>
      </c>
    </row>
    <row r="243" spans="1:2">
      <c r="A243" s="78" t="s">
        <v>192</v>
      </c>
    </row>
    <row r="244" spans="1:2">
      <c r="B244" s="78" t="s">
        <v>200</v>
      </c>
    </row>
    <row r="245" spans="1:2">
      <c r="A245" s="78" t="s">
        <v>193</v>
      </c>
    </row>
    <row r="246" spans="1:2">
      <c r="B246" s="78" t="s">
        <v>243</v>
      </c>
    </row>
    <row r="247" spans="1:2">
      <c r="A247" s="78" t="s">
        <v>175</v>
      </c>
    </row>
    <row r="248" spans="1:2">
      <c r="B248" s="78" t="s">
        <v>270</v>
      </c>
    </row>
    <row r="249" spans="1:2">
      <c r="B249" s="78" t="s">
        <v>262</v>
      </c>
    </row>
    <row r="250" spans="1:2">
      <c r="B250" s="78" t="s">
        <v>271</v>
      </c>
    </row>
    <row r="253" spans="1:2">
      <c r="A253" s="78" t="s">
        <v>192</v>
      </c>
    </row>
    <row r="254" spans="1:2">
      <c r="B254" s="78" t="s">
        <v>201</v>
      </c>
    </row>
    <row r="255" spans="1:2">
      <c r="A255" s="78" t="s">
        <v>193</v>
      </c>
    </row>
    <row r="256" spans="1:2">
      <c r="B256" s="78" t="s">
        <v>244</v>
      </c>
    </row>
    <row r="257" spans="1:2">
      <c r="A257" s="78" t="s">
        <v>175</v>
      </c>
    </row>
    <row r="258" spans="1:2">
      <c r="B258" s="78" t="s">
        <v>272</v>
      </c>
    </row>
    <row r="259" spans="1:2">
      <c r="B259" s="78" t="s">
        <v>262</v>
      </c>
    </row>
    <row r="260" spans="1:2">
      <c r="B260" s="78" t="s">
        <v>273</v>
      </c>
    </row>
    <row r="263" spans="1:2">
      <c r="A263" s="78" t="s">
        <v>192</v>
      </c>
    </row>
    <row r="264" spans="1:2">
      <c r="B264" s="78" t="s">
        <v>202</v>
      </c>
    </row>
    <row r="265" spans="1:2">
      <c r="A265" s="78" t="s">
        <v>193</v>
      </c>
    </row>
    <row r="266" spans="1:2">
      <c r="B266" s="78" t="s">
        <v>245</v>
      </c>
    </row>
    <row r="267" spans="1:2">
      <c r="A267" s="78" t="s">
        <v>175</v>
      </c>
    </row>
    <row r="268" spans="1:2">
      <c r="B268" s="78" t="s">
        <v>275</v>
      </c>
    </row>
    <row r="269" spans="1:2">
      <c r="B269" s="78" t="s">
        <v>262</v>
      </c>
    </row>
    <row r="270" spans="1:2">
      <c r="B270" s="78" t="s">
        <v>274</v>
      </c>
    </row>
    <row r="273" spans="1:2">
      <c r="A273" s="78" t="s">
        <v>192</v>
      </c>
    </row>
    <row r="274" spans="1:2">
      <c r="B274" s="78" t="s">
        <v>203</v>
      </c>
    </row>
    <row r="275" spans="1:2">
      <c r="A275" s="78" t="s">
        <v>193</v>
      </c>
    </row>
    <row r="276" spans="1:2">
      <c r="B276" s="78" t="s">
        <v>246</v>
      </c>
    </row>
    <row r="277" spans="1:2">
      <c r="A277" s="78" t="s">
        <v>175</v>
      </c>
    </row>
    <row r="278" spans="1:2">
      <c r="B278" s="78" t="s">
        <v>215</v>
      </c>
    </row>
    <row r="279" spans="1:2">
      <c r="B279" s="78" t="s">
        <v>262</v>
      </c>
    </row>
    <row r="280" spans="1:2">
      <c r="B280" s="78" t="s">
        <v>276</v>
      </c>
    </row>
    <row r="283" spans="1:2">
      <c r="A283" s="78" t="s">
        <v>192</v>
      </c>
    </row>
    <row r="284" spans="1:2">
      <c r="B284" s="78" t="s">
        <v>194</v>
      </c>
    </row>
    <row r="285" spans="1:2">
      <c r="A285" s="78" t="s">
        <v>193</v>
      </c>
    </row>
    <row r="286" spans="1:2">
      <c r="B286" s="78" t="s">
        <v>247</v>
      </c>
    </row>
    <row r="287" spans="1:2">
      <c r="A287" s="78" t="s">
        <v>175</v>
      </c>
    </row>
    <row r="288" spans="1:2">
      <c r="B288" s="78" t="s">
        <v>236</v>
      </c>
    </row>
    <row r="289" spans="1:2">
      <c r="B289" s="78" t="s">
        <v>262</v>
      </c>
    </row>
    <row r="290" spans="1:2">
      <c r="B290" s="78" t="s">
        <v>263</v>
      </c>
    </row>
    <row r="292" spans="1:2">
      <c r="A292" s="78" t="s">
        <v>192</v>
      </c>
    </row>
    <row r="293" spans="1:2">
      <c r="B293" s="78" t="s">
        <v>196</v>
      </c>
    </row>
    <row r="294" spans="1:2">
      <c r="A294" s="78" t="s">
        <v>193</v>
      </c>
    </row>
    <row r="295" spans="1:2">
      <c r="B295" s="78" t="s">
        <v>248</v>
      </c>
    </row>
    <row r="296" spans="1:2">
      <c r="A296" s="78" t="s">
        <v>175</v>
      </c>
    </row>
    <row r="297" spans="1:2">
      <c r="B297" s="78" t="s">
        <v>265</v>
      </c>
    </row>
    <row r="298" spans="1:2">
      <c r="B298" s="78" t="s">
        <v>262</v>
      </c>
    </row>
    <row r="299" spans="1:2">
      <c r="B299" s="78" t="s">
        <v>264</v>
      </c>
    </row>
    <row r="302" spans="1:2">
      <c r="A302" s="78" t="s">
        <v>192</v>
      </c>
    </row>
    <row r="303" spans="1:2">
      <c r="B303" s="78" t="s">
        <v>198</v>
      </c>
    </row>
    <row r="304" spans="1:2">
      <c r="A304" s="78" t="s">
        <v>193</v>
      </c>
    </row>
    <row r="305" spans="1:16">
      <c r="B305" s="78" t="s">
        <v>249</v>
      </c>
    </row>
    <row r="306" spans="1:16">
      <c r="A306" s="78" t="s">
        <v>175</v>
      </c>
    </row>
    <row r="307" spans="1:16">
      <c r="B307" s="78" t="s">
        <v>267</v>
      </c>
    </row>
    <row r="308" spans="1:16">
      <c r="B308" s="78" t="s">
        <v>262</v>
      </c>
    </row>
    <row r="309" spans="1:16">
      <c r="B309" s="78" t="s">
        <v>266</v>
      </c>
    </row>
    <row r="312" spans="1:16" s="104" customFormat="1" ht="14.25">
      <c r="A312" s="99" t="s">
        <v>108</v>
      </c>
      <c r="B312" s="145" t="s">
        <v>109</v>
      </c>
      <c r="C312" s="100" t="s">
        <v>110</v>
      </c>
      <c r="D312" s="100" t="s">
        <v>111</v>
      </c>
      <c r="L312" s="105"/>
      <c r="P312" s="105"/>
    </row>
    <row r="313" spans="1:16" s="104" customFormat="1" ht="14.25">
      <c r="A313" s="106">
        <v>11</v>
      </c>
      <c r="B313" s="107" t="s">
        <v>184</v>
      </c>
      <c r="C313" s="101" t="s">
        <v>183</v>
      </c>
      <c r="D313" s="101" t="s">
        <v>208</v>
      </c>
      <c r="L313" s="105"/>
      <c r="P313" s="105"/>
    </row>
    <row r="314" spans="1:16" s="104" customFormat="1" ht="14.25">
      <c r="A314" s="284" t="s">
        <v>108</v>
      </c>
      <c r="B314" s="284" t="s">
        <v>115</v>
      </c>
      <c r="C314" s="102" t="s">
        <v>112</v>
      </c>
      <c r="D314" s="284"/>
      <c r="J314" s="105"/>
      <c r="N314" s="105"/>
    </row>
    <row r="315" spans="1:16" s="104" customFormat="1" ht="14.25">
      <c r="A315" s="285"/>
      <c r="B315" s="285"/>
      <c r="C315" s="103" t="s">
        <v>113</v>
      </c>
      <c r="D315" s="285"/>
      <c r="K315" s="105"/>
      <c r="O315" s="105"/>
    </row>
    <row r="316" spans="1:16" s="104" customFormat="1" ht="14.25">
      <c r="A316" s="108">
        <v>1</v>
      </c>
      <c r="B316" s="109" t="s">
        <v>205</v>
      </c>
      <c r="C316" s="110" t="s">
        <v>221</v>
      </c>
      <c r="D316" s="111" t="s">
        <v>222</v>
      </c>
    </row>
    <row r="317" spans="1:16" s="104" customFormat="1" ht="14.25">
      <c r="A317" s="108">
        <v>2</v>
      </c>
      <c r="B317" s="109" t="s">
        <v>299</v>
      </c>
      <c r="C317" s="110" t="s">
        <v>300</v>
      </c>
      <c r="D317" s="111" t="s">
        <v>222</v>
      </c>
    </row>
    <row r="318" spans="1:16" s="104" customFormat="1" ht="14.25">
      <c r="A318" s="99" t="s">
        <v>116</v>
      </c>
      <c r="B318" s="99"/>
      <c r="C318" s="112" t="s">
        <v>117</v>
      </c>
      <c r="D318" s="146"/>
    </row>
    <row r="319" spans="1:16" s="104" customFormat="1" ht="14.25">
      <c r="A319" s="277" t="s">
        <v>168</v>
      </c>
      <c r="B319" s="278"/>
      <c r="C319" s="113" t="s">
        <v>118</v>
      </c>
      <c r="D319" s="111"/>
      <c r="K319" s="105"/>
      <c r="O319" s="105"/>
    </row>
    <row r="320" spans="1:16" s="104" customFormat="1" ht="14.25">
      <c r="A320" s="279" t="s">
        <v>119</v>
      </c>
      <c r="B320" s="280"/>
      <c r="C320" s="281"/>
      <c r="D320" s="146"/>
      <c r="K320" s="105"/>
      <c r="O320" s="105"/>
    </row>
    <row r="321" spans="1:15" s="104" customFormat="1" ht="71.25" customHeight="1">
      <c r="A321" s="282" t="s">
        <v>303</v>
      </c>
      <c r="B321" s="283"/>
      <c r="C321" s="278"/>
      <c r="D321" s="111"/>
      <c r="K321" s="105"/>
      <c r="O321" s="105"/>
    </row>
    <row r="322" spans="1:15" s="104" customFormat="1" ht="14.25">
      <c r="A322" s="279" t="s">
        <v>120</v>
      </c>
      <c r="B322" s="280"/>
      <c r="C322" s="281"/>
      <c r="D322" s="146"/>
      <c r="K322" s="105"/>
      <c r="O322" s="105"/>
    </row>
    <row r="323" spans="1:15" s="104" customFormat="1" ht="13.5" customHeight="1">
      <c r="A323" s="282" t="s">
        <v>169</v>
      </c>
      <c r="B323" s="283"/>
      <c r="C323" s="278"/>
      <c r="D323" s="115"/>
    </row>
    <row r="324" spans="1:15" s="104" customFormat="1" ht="14.25">
      <c r="A324" s="279" t="s">
        <v>121</v>
      </c>
      <c r="B324" s="280"/>
      <c r="C324" s="281"/>
      <c r="D324" s="146"/>
      <c r="K324" s="105"/>
      <c r="O324" s="105"/>
    </row>
    <row r="325" spans="1:15" s="104" customFormat="1" ht="14.25">
      <c r="A325" s="282" t="s">
        <v>169</v>
      </c>
      <c r="B325" s="283"/>
      <c r="C325" s="278"/>
      <c r="D325" s="111"/>
    </row>
    <row r="327" spans="1:15">
      <c r="A327" s="78" t="s">
        <v>192</v>
      </c>
    </row>
    <row r="328" spans="1:15">
      <c r="B328" s="78" t="s">
        <v>173</v>
      </c>
    </row>
    <row r="329" spans="1:15">
      <c r="A329" s="78" t="s">
        <v>193</v>
      </c>
    </row>
    <row r="330" spans="1:15">
      <c r="B330" s="78" t="s">
        <v>295</v>
      </c>
    </row>
    <row r="331" spans="1:15">
      <c r="B331" s="78" t="s">
        <v>297</v>
      </c>
    </row>
    <row r="332" spans="1:15">
      <c r="A332" s="78" t="s">
        <v>175</v>
      </c>
    </row>
    <row r="333" spans="1:15">
      <c r="B333" s="78" t="s">
        <v>291</v>
      </c>
    </row>
    <row r="334" spans="1:15">
      <c r="B334" s="78" t="s">
        <v>292</v>
      </c>
    </row>
    <row r="335" spans="1:15">
      <c r="B335" s="78" t="s">
        <v>293</v>
      </c>
    </row>
    <row r="336" spans="1:15">
      <c r="B336" s="78" t="s">
        <v>294</v>
      </c>
    </row>
    <row r="337" spans="1:16">
      <c r="B337" s="78" t="s">
        <v>304</v>
      </c>
    </row>
    <row r="340" spans="1:16" s="104" customFormat="1" ht="14.25">
      <c r="A340" s="99" t="s">
        <v>108</v>
      </c>
      <c r="B340" s="145" t="s">
        <v>109</v>
      </c>
      <c r="C340" s="100" t="s">
        <v>110</v>
      </c>
      <c r="D340" s="100" t="s">
        <v>111</v>
      </c>
      <c r="L340" s="105"/>
      <c r="P340" s="105"/>
    </row>
    <row r="341" spans="1:16" s="104" customFormat="1" ht="14.25">
      <c r="A341" s="106">
        <v>13</v>
      </c>
      <c r="B341" s="107" t="s">
        <v>185</v>
      </c>
      <c r="C341" s="101" t="s">
        <v>183</v>
      </c>
      <c r="D341" s="101" t="s">
        <v>208</v>
      </c>
      <c r="L341" s="105"/>
      <c r="P341" s="105"/>
    </row>
    <row r="342" spans="1:16" s="104" customFormat="1" ht="14.25">
      <c r="A342" s="284" t="s">
        <v>108</v>
      </c>
      <c r="B342" s="284" t="s">
        <v>115</v>
      </c>
      <c r="C342" s="102" t="s">
        <v>112</v>
      </c>
      <c r="D342" s="284"/>
      <c r="J342" s="105"/>
      <c r="N342" s="105"/>
    </row>
    <row r="343" spans="1:16" s="104" customFormat="1" ht="14.25">
      <c r="A343" s="285"/>
      <c r="B343" s="285"/>
      <c r="C343" s="103" t="s">
        <v>113</v>
      </c>
      <c r="D343" s="285"/>
      <c r="K343" s="105"/>
      <c r="O343" s="105"/>
    </row>
    <row r="344" spans="1:16" s="104" customFormat="1" ht="14.25">
      <c r="A344" s="108">
        <v>1</v>
      </c>
      <c r="B344" s="109" t="s">
        <v>205</v>
      </c>
      <c r="C344" s="110" t="s">
        <v>206</v>
      </c>
      <c r="D344" s="111" t="s">
        <v>207</v>
      </c>
    </row>
    <row r="345" spans="1:16" s="104" customFormat="1" ht="14.25">
      <c r="A345" s="108">
        <v>2</v>
      </c>
      <c r="B345" s="109" t="s">
        <v>299</v>
      </c>
      <c r="C345" s="110" t="s">
        <v>300</v>
      </c>
      <c r="D345" s="111" t="s">
        <v>222</v>
      </c>
    </row>
    <row r="346" spans="1:16" s="104" customFormat="1" ht="14.25">
      <c r="A346" s="99" t="s">
        <v>116</v>
      </c>
      <c r="B346" s="99"/>
      <c r="C346" s="112" t="s">
        <v>117</v>
      </c>
      <c r="D346" s="146"/>
    </row>
    <row r="347" spans="1:16" s="104" customFormat="1" ht="14.25">
      <c r="A347" s="277" t="s">
        <v>168</v>
      </c>
      <c r="B347" s="278"/>
      <c r="C347" s="113" t="s">
        <v>118</v>
      </c>
      <c r="D347" s="111"/>
      <c r="K347" s="105"/>
      <c r="O347" s="105"/>
    </row>
    <row r="348" spans="1:16" s="104" customFormat="1" ht="14.25">
      <c r="A348" s="279" t="s">
        <v>119</v>
      </c>
      <c r="B348" s="280"/>
      <c r="C348" s="281"/>
      <c r="D348" s="146"/>
      <c r="K348" s="105"/>
      <c r="O348" s="105"/>
    </row>
    <row r="349" spans="1:16" s="104" customFormat="1" ht="87.75" customHeight="1">
      <c r="A349" s="282" t="s">
        <v>303</v>
      </c>
      <c r="B349" s="283"/>
      <c r="C349" s="278"/>
      <c r="D349" s="111"/>
      <c r="K349" s="105"/>
      <c r="O349" s="105"/>
    </row>
    <row r="350" spans="1:16" s="104" customFormat="1" ht="14.25">
      <c r="A350" s="279" t="s">
        <v>120</v>
      </c>
      <c r="B350" s="280"/>
      <c r="C350" s="281"/>
      <c r="D350" s="146"/>
      <c r="K350" s="105"/>
      <c r="O350" s="105"/>
    </row>
    <row r="351" spans="1:16" s="104" customFormat="1" ht="13.5" customHeight="1">
      <c r="A351" s="282" t="s">
        <v>169</v>
      </c>
      <c r="B351" s="283"/>
      <c r="C351" s="278"/>
      <c r="D351" s="115"/>
    </row>
    <row r="352" spans="1:16" s="104" customFormat="1" ht="14.25">
      <c r="A352" s="279" t="s">
        <v>121</v>
      </c>
      <c r="B352" s="280"/>
      <c r="C352" s="281"/>
      <c r="D352" s="146"/>
      <c r="K352" s="105"/>
      <c r="O352" s="105"/>
    </row>
    <row r="353" spans="1:4" s="104" customFormat="1" ht="14.25">
      <c r="A353" s="282" t="s">
        <v>169</v>
      </c>
      <c r="B353" s="283"/>
      <c r="C353" s="278"/>
      <c r="D353" s="111"/>
    </row>
    <row r="355" spans="1:4">
      <c r="A355" s="78" t="s">
        <v>192</v>
      </c>
    </row>
    <row r="356" spans="1:4">
      <c r="B356" s="78" t="s">
        <v>173</v>
      </c>
    </row>
    <row r="357" spans="1:4">
      <c r="A357" s="78" t="s">
        <v>193</v>
      </c>
    </row>
    <row r="358" spans="1:4">
      <c r="B358" s="78" t="s">
        <v>298</v>
      </c>
    </row>
    <row r="359" spans="1:4">
      <c r="B359" s="78" t="s">
        <v>297</v>
      </c>
    </row>
    <row r="360" spans="1:4">
      <c r="A360" s="78" t="s">
        <v>175</v>
      </c>
    </row>
    <row r="361" spans="1:4">
      <c r="B361" s="78" t="s">
        <v>291</v>
      </c>
    </row>
    <row r="362" spans="1:4">
      <c r="B362" s="78" t="s">
        <v>292</v>
      </c>
    </row>
    <row r="363" spans="1:4">
      <c r="B363" s="78" t="s">
        <v>293</v>
      </c>
    </row>
    <row r="364" spans="1:4">
      <c r="B364" s="78" t="s">
        <v>294</v>
      </c>
    </row>
    <row r="365" spans="1:4">
      <c r="B365" s="78" t="s">
        <v>304</v>
      </c>
    </row>
  </sheetData>
  <mergeCells count="106">
    <mergeCell ref="A125:C125"/>
    <mergeCell ref="A126:C126"/>
    <mergeCell ref="A127:C127"/>
    <mergeCell ref="A128:C128"/>
    <mergeCell ref="A129:C129"/>
    <mergeCell ref="A119:A120"/>
    <mergeCell ref="B119:B120"/>
    <mergeCell ref="D119:D120"/>
    <mergeCell ref="A123:B123"/>
    <mergeCell ref="A124:C124"/>
    <mergeCell ref="B96:B97"/>
    <mergeCell ref="D96:D97"/>
    <mergeCell ref="A100:B100"/>
    <mergeCell ref="A101:B101"/>
    <mergeCell ref="A107:C107"/>
    <mergeCell ref="A102:C102"/>
    <mergeCell ref="A103:C103"/>
    <mergeCell ref="A104:C104"/>
    <mergeCell ref="A105:C105"/>
    <mergeCell ref="A106:C106"/>
    <mergeCell ref="A15:A16"/>
    <mergeCell ref="B15:B16"/>
    <mergeCell ref="D15:D16"/>
    <mergeCell ref="A24:B24"/>
    <mergeCell ref="A2:B3"/>
    <mergeCell ref="A8:A9"/>
    <mergeCell ref="B8:B9"/>
    <mergeCell ref="A25:C25"/>
    <mergeCell ref="A26:C26"/>
    <mergeCell ref="A27:C27"/>
    <mergeCell ref="A28:C28"/>
    <mergeCell ref="A29:C29"/>
    <mergeCell ref="A30:C30"/>
    <mergeCell ref="A72:A73"/>
    <mergeCell ref="B72:B73"/>
    <mergeCell ref="D72:D73"/>
    <mergeCell ref="A76:B76"/>
    <mergeCell ref="A48:A49"/>
    <mergeCell ref="B48:B49"/>
    <mergeCell ref="D48:D49"/>
    <mergeCell ref="A52:B52"/>
    <mergeCell ref="A53:C53"/>
    <mergeCell ref="A54:C54"/>
    <mergeCell ref="A55:C55"/>
    <mergeCell ref="A56:C56"/>
    <mergeCell ref="A57:C57"/>
    <mergeCell ref="A58:C58"/>
    <mergeCell ref="A77:C77"/>
    <mergeCell ref="A78:C78"/>
    <mergeCell ref="A79:C79"/>
    <mergeCell ref="A80:C80"/>
    <mergeCell ref="A81:C81"/>
    <mergeCell ref="A214:A215"/>
    <mergeCell ref="B214:B215"/>
    <mergeCell ref="D214:D215"/>
    <mergeCell ref="A218:B218"/>
    <mergeCell ref="A82:C82"/>
    <mergeCell ref="A143:A144"/>
    <mergeCell ref="B143:B144"/>
    <mergeCell ref="D143:D144"/>
    <mergeCell ref="A155:C155"/>
    <mergeCell ref="A156:C156"/>
    <mergeCell ref="A157:C157"/>
    <mergeCell ref="A158:C158"/>
    <mergeCell ref="A159:C159"/>
    <mergeCell ref="A160:C160"/>
    <mergeCell ref="A147:B147"/>
    <mergeCell ref="A96:A97"/>
    <mergeCell ref="A222:B222"/>
    <mergeCell ref="A226:C226"/>
    <mergeCell ref="A227:C227"/>
    <mergeCell ref="A219:B219"/>
    <mergeCell ref="A220:B220"/>
    <mergeCell ref="A221:B221"/>
    <mergeCell ref="A224:B224"/>
    <mergeCell ref="A223:B223"/>
    <mergeCell ref="D314:D315"/>
    <mergeCell ref="A319:B319"/>
    <mergeCell ref="A320:C320"/>
    <mergeCell ref="A321:C321"/>
    <mergeCell ref="A228:C228"/>
    <mergeCell ref="A229:C229"/>
    <mergeCell ref="A230:C230"/>
    <mergeCell ref="A231:C231"/>
    <mergeCell ref="A314:A315"/>
    <mergeCell ref="B314:B315"/>
    <mergeCell ref="A322:C322"/>
    <mergeCell ref="A323:C323"/>
    <mergeCell ref="A324:C324"/>
    <mergeCell ref="A325:C325"/>
    <mergeCell ref="A342:A343"/>
    <mergeCell ref="B342:B343"/>
    <mergeCell ref="A350:C350"/>
    <mergeCell ref="A351:C351"/>
    <mergeCell ref="A352:C352"/>
    <mergeCell ref="A353:C353"/>
    <mergeCell ref="D342:D343"/>
    <mergeCell ref="A347:B347"/>
    <mergeCell ref="A348:C348"/>
    <mergeCell ref="A349:C349"/>
    <mergeCell ref="A153:B153"/>
    <mergeCell ref="A148:B148"/>
    <mergeCell ref="A149:B149"/>
    <mergeCell ref="A150:B150"/>
    <mergeCell ref="A151:B151"/>
    <mergeCell ref="A152:B152"/>
  </mergeCells>
  <phoneticPr fontId="3"/>
  <pageMargins left="0.7" right="0.7" top="0.75" bottom="0.75" header="0.3" footer="0.3"/>
  <pageSetup paperSize="9" scale="71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B6AA6-CE50-46F0-891B-08C3146DE4B0}">
  <sheetPr>
    <pageSetUpPr fitToPage="1"/>
  </sheetPr>
  <dimension ref="A1:CV36"/>
  <sheetViews>
    <sheetView showGridLines="0" view="pageBreakPreview" zoomScale="90" zoomScaleNormal="70" zoomScaleSheetLayoutView="90" workbookViewId="0"/>
  </sheetViews>
  <sheetFormatPr defaultColWidth="2.125" defaultRowHeight="18.75"/>
  <cols>
    <col min="1" max="99" width="2.125" style="117"/>
    <col min="100" max="100" width="4.25" style="117" customWidth="1"/>
    <col min="101" max="16384" width="2.125" style="117"/>
  </cols>
  <sheetData>
    <row r="1" spans="1:100">
      <c r="Z1" s="118" t="s">
        <v>51</v>
      </c>
    </row>
    <row r="2" spans="1:100" s="67" customFormat="1" ht="13.5" customHeight="1" thickBot="1"/>
    <row r="3" spans="1:100" s="67" customFormat="1" ht="13.5" customHeight="1">
      <c r="A3" s="318" t="s">
        <v>122</v>
      </c>
      <c r="B3" s="318"/>
      <c r="C3" s="318"/>
      <c r="D3" s="318"/>
      <c r="E3" s="318"/>
      <c r="F3" s="318"/>
      <c r="G3" s="318"/>
      <c r="H3" s="318"/>
      <c r="I3" s="318"/>
      <c r="J3" s="318"/>
      <c r="K3" s="318"/>
      <c r="L3" s="318"/>
      <c r="M3" s="318"/>
      <c r="N3" s="318"/>
      <c r="O3" s="318"/>
      <c r="P3" s="318"/>
      <c r="Q3" s="318"/>
      <c r="R3" s="318"/>
      <c r="S3" s="318"/>
      <c r="T3" s="318"/>
      <c r="U3" s="318"/>
      <c r="V3" s="318"/>
      <c r="W3" s="318"/>
      <c r="X3" s="318"/>
      <c r="Y3" s="318"/>
      <c r="Z3" s="318"/>
      <c r="AA3" s="93"/>
      <c r="AB3" s="119"/>
      <c r="AC3" s="119"/>
      <c r="AD3" s="119"/>
      <c r="AE3" s="119"/>
      <c r="AF3" s="119"/>
      <c r="AG3" s="119"/>
      <c r="AH3" s="119"/>
      <c r="CE3" s="120" t="s">
        <v>7</v>
      </c>
      <c r="CF3" s="121"/>
      <c r="CG3" s="121"/>
      <c r="CH3" s="121"/>
      <c r="CI3" s="121"/>
      <c r="CJ3" s="121"/>
      <c r="CK3" s="121"/>
      <c r="CL3" s="122" t="s">
        <v>17</v>
      </c>
      <c r="CM3" s="123"/>
      <c r="CN3" s="121"/>
      <c r="CO3" s="121"/>
      <c r="CP3" s="121"/>
      <c r="CQ3" s="121"/>
      <c r="CR3" s="121"/>
      <c r="CS3" s="121"/>
      <c r="CT3" s="121"/>
      <c r="CU3" s="121"/>
      <c r="CV3" s="124"/>
    </row>
    <row r="4" spans="1:100" s="67" customFormat="1" ht="13.5" customHeight="1">
      <c r="A4" s="319"/>
      <c r="B4" s="319"/>
      <c r="C4" s="319"/>
      <c r="D4" s="319"/>
      <c r="E4" s="319"/>
      <c r="F4" s="319"/>
      <c r="G4" s="319"/>
      <c r="H4" s="319"/>
      <c r="I4" s="319"/>
      <c r="J4" s="319"/>
      <c r="K4" s="319"/>
      <c r="L4" s="319"/>
      <c r="M4" s="319"/>
      <c r="N4" s="319"/>
      <c r="O4" s="319"/>
      <c r="P4" s="319"/>
      <c r="Q4" s="319"/>
      <c r="R4" s="319"/>
      <c r="S4" s="319"/>
      <c r="T4" s="319"/>
      <c r="U4" s="319"/>
      <c r="V4" s="319"/>
      <c r="W4" s="319"/>
      <c r="X4" s="319"/>
      <c r="Y4" s="319"/>
      <c r="Z4" s="319"/>
      <c r="AA4" s="125"/>
      <c r="AB4" s="126"/>
      <c r="AC4" s="126"/>
      <c r="AD4" s="126"/>
      <c r="AE4" s="126"/>
      <c r="AF4" s="126"/>
      <c r="AG4" s="126"/>
      <c r="AH4" s="126"/>
      <c r="AI4" s="127"/>
      <c r="CE4" s="128" t="s">
        <v>18</v>
      </c>
      <c r="CI4" s="129"/>
      <c r="CJ4" s="129"/>
      <c r="CK4" s="129"/>
      <c r="CL4" s="130" t="s">
        <v>123</v>
      </c>
      <c r="CM4" s="131"/>
      <c r="CO4" s="132"/>
      <c r="CP4" s="132"/>
      <c r="CQ4" s="132"/>
      <c r="CR4" s="132"/>
      <c r="CS4" s="132"/>
      <c r="CT4" s="132"/>
      <c r="CU4" s="132"/>
      <c r="CV4" s="133"/>
    </row>
    <row r="5" spans="1:100" s="67" customFormat="1" ht="13.5" customHeight="1">
      <c r="A5" s="320" t="s">
        <v>124</v>
      </c>
      <c r="B5" s="321"/>
      <c r="C5" s="322"/>
      <c r="D5" s="329" t="s">
        <v>125</v>
      </c>
      <c r="E5" s="330"/>
      <c r="F5" s="331"/>
      <c r="G5" s="329" t="s">
        <v>126</v>
      </c>
      <c r="H5" s="330"/>
      <c r="I5" s="330"/>
      <c r="J5" s="330"/>
      <c r="K5" s="330"/>
      <c r="L5" s="330"/>
      <c r="M5" s="330"/>
      <c r="N5" s="330"/>
      <c r="O5" s="331"/>
      <c r="P5" s="338" t="s">
        <v>127</v>
      </c>
      <c r="Q5" s="339"/>
      <c r="R5" s="339"/>
      <c r="S5" s="339"/>
      <c r="T5" s="339"/>
      <c r="U5" s="339"/>
      <c r="V5" s="339"/>
      <c r="W5" s="339"/>
      <c r="X5" s="339"/>
      <c r="Y5" s="339"/>
      <c r="Z5" s="339"/>
      <c r="AA5" s="339"/>
      <c r="AB5" s="339"/>
      <c r="AC5" s="339"/>
      <c r="AD5" s="339"/>
      <c r="AE5" s="339"/>
      <c r="AF5" s="339"/>
      <c r="AG5" s="339"/>
      <c r="AH5" s="339"/>
      <c r="AI5" s="339"/>
      <c r="AJ5" s="339"/>
      <c r="AK5" s="339"/>
      <c r="AL5" s="339"/>
      <c r="AM5" s="339"/>
      <c r="AN5" s="339"/>
      <c r="AO5" s="339"/>
      <c r="AP5" s="339"/>
      <c r="AQ5" s="339"/>
      <c r="AR5" s="339"/>
      <c r="AS5" s="339"/>
      <c r="AT5" s="339"/>
      <c r="AU5" s="339"/>
      <c r="AV5" s="339"/>
      <c r="AW5" s="339"/>
      <c r="AX5" s="339"/>
      <c r="AY5" s="339"/>
      <c r="AZ5" s="339"/>
      <c r="BA5" s="339"/>
      <c r="BB5" s="339"/>
      <c r="BC5" s="339"/>
      <c r="BD5" s="339"/>
      <c r="BE5" s="339"/>
      <c r="BF5" s="339"/>
      <c r="BG5" s="339"/>
      <c r="BH5" s="339"/>
      <c r="BI5" s="339"/>
      <c r="BJ5" s="339"/>
      <c r="BK5" s="339"/>
      <c r="BL5" s="339"/>
      <c r="BM5" s="339"/>
      <c r="BN5" s="339"/>
      <c r="BO5" s="339"/>
      <c r="BP5" s="339"/>
      <c r="BQ5" s="339"/>
      <c r="BR5" s="339"/>
      <c r="BS5" s="339"/>
      <c r="BT5" s="340"/>
      <c r="BU5" s="338" t="s">
        <v>128</v>
      </c>
      <c r="BV5" s="339"/>
      <c r="BW5" s="339"/>
      <c r="BX5" s="339"/>
      <c r="BY5" s="339"/>
      <c r="BZ5" s="339"/>
      <c r="CA5" s="339"/>
      <c r="CB5" s="339"/>
      <c r="CC5" s="339"/>
      <c r="CD5" s="339"/>
      <c r="CE5" s="339"/>
      <c r="CF5" s="339"/>
      <c r="CG5" s="339"/>
      <c r="CH5" s="339"/>
      <c r="CI5" s="339"/>
      <c r="CJ5" s="339"/>
      <c r="CK5" s="339"/>
      <c r="CL5" s="339"/>
      <c r="CM5" s="339"/>
      <c r="CN5" s="339"/>
      <c r="CO5" s="339"/>
      <c r="CP5" s="339"/>
      <c r="CQ5" s="339"/>
      <c r="CR5" s="339"/>
      <c r="CS5" s="339"/>
      <c r="CT5" s="339"/>
      <c r="CU5" s="339"/>
      <c r="CV5" s="341"/>
    </row>
    <row r="6" spans="1:100" s="67" customFormat="1" ht="13.5" customHeight="1">
      <c r="A6" s="323"/>
      <c r="B6" s="324"/>
      <c r="C6" s="325"/>
      <c r="D6" s="332"/>
      <c r="E6" s="333"/>
      <c r="F6" s="334"/>
      <c r="G6" s="332"/>
      <c r="H6" s="333"/>
      <c r="I6" s="333"/>
      <c r="J6" s="333"/>
      <c r="K6" s="333"/>
      <c r="L6" s="333"/>
      <c r="M6" s="333"/>
      <c r="N6" s="333"/>
      <c r="O6" s="334"/>
      <c r="P6" s="342" t="s">
        <v>129</v>
      </c>
      <c r="Q6" s="343"/>
      <c r="R6" s="342" t="s">
        <v>130</v>
      </c>
      <c r="S6" s="348"/>
      <c r="T6" s="343"/>
      <c r="U6" s="342" t="s">
        <v>131</v>
      </c>
      <c r="V6" s="348"/>
      <c r="W6" s="343"/>
      <c r="X6" s="342" t="s">
        <v>132</v>
      </c>
      <c r="Y6" s="348"/>
      <c r="Z6" s="343"/>
      <c r="AA6" s="351" t="s">
        <v>133</v>
      </c>
      <c r="AB6" s="351"/>
      <c r="AC6" s="351"/>
      <c r="AD6" s="351"/>
      <c r="AE6" s="351"/>
      <c r="AF6" s="351"/>
      <c r="AG6" s="351"/>
      <c r="AH6" s="351"/>
      <c r="AI6" s="351"/>
      <c r="AJ6" s="351"/>
      <c r="AK6" s="352" t="s">
        <v>134</v>
      </c>
      <c r="AL6" s="353"/>
      <c r="AM6" s="353"/>
      <c r="AN6" s="353"/>
      <c r="AO6" s="353"/>
      <c r="AP6" s="353"/>
      <c r="AQ6" s="353"/>
      <c r="AR6" s="353"/>
      <c r="AS6" s="353"/>
      <c r="AT6" s="353"/>
      <c r="AU6" s="353"/>
      <c r="AV6" s="353"/>
      <c r="AW6" s="353"/>
      <c r="AX6" s="353"/>
      <c r="AY6" s="353"/>
      <c r="AZ6" s="353"/>
      <c r="BA6" s="353"/>
      <c r="BB6" s="353"/>
      <c r="BC6" s="353"/>
      <c r="BD6" s="353"/>
      <c r="BE6" s="353"/>
      <c r="BF6" s="353"/>
      <c r="BG6" s="353"/>
      <c r="BH6" s="353"/>
      <c r="BI6" s="353"/>
      <c r="BJ6" s="353"/>
      <c r="BK6" s="353"/>
      <c r="BL6" s="353"/>
      <c r="BM6" s="353"/>
      <c r="BN6" s="353"/>
      <c r="BO6" s="353"/>
      <c r="BP6" s="354"/>
      <c r="BQ6" s="342" t="s">
        <v>135</v>
      </c>
      <c r="BR6" s="348"/>
      <c r="BS6" s="348"/>
      <c r="BT6" s="343"/>
      <c r="BU6" s="342" t="s">
        <v>136</v>
      </c>
      <c r="BV6" s="348"/>
      <c r="BW6" s="348"/>
      <c r="BX6" s="342" t="s">
        <v>137</v>
      </c>
      <c r="BY6" s="348"/>
      <c r="BZ6" s="348"/>
      <c r="CA6" s="348"/>
      <c r="CB6" s="348"/>
      <c r="CC6" s="348"/>
      <c r="CD6" s="348"/>
      <c r="CE6" s="348"/>
      <c r="CF6" s="348"/>
      <c r="CG6" s="348"/>
      <c r="CH6" s="348"/>
      <c r="CI6" s="348"/>
      <c r="CJ6" s="348"/>
      <c r="CK6" s="348"/>
      <c r="CL6" s="348"/>
      <c r="CM6" s="348"/>
      <c r="CN6" s="348"/>
      <c r="CO6" s="348"/>
      <c r="CP6" s="348"/>
      <c r="CQ6" s="348"/>
      <c r="CR6" s="343"/>
      <c r="CS6" s="342" t="s">
        <v>135</v>
      </c>
      <c r="CT6" s="348"/>
      <c r="CU6" s="348"/>
      <c r="CV6" s="355"/>
    </row>
    <row r="7" spans="1:100" s="67" customFormat="1" ht="13.5" customHeight="1">
      <c r="A7" s="323"/>
      <c r="B7" s="324"/>
      <c r="C7" s="325"/>
      <c r="D7" s="332"/>
      <c r="E7" s="333"/>
      <c r="F7" s="334"/>
      <c r="G7" s="332"/>
      <c r="H7" s="333"/>
      <c r="I7" s="333"/>
      <c r="J7" s="333"/>
      <c r="K7" s="333"/>
      <c r="L7" s="333"/>
      <c r="M7" s="333"/>
      <c r="N7" s="333"/>
      <c r="O7" s="334"/>
      <c r="P7" s="344"/>
      <c r="Q7" s="345"/>
      <c r="R7" s="344"/>
      <c r="S7" s="349"/>
      <c r="T7" s="345"/>
      <c r="U7" s="344"/>
      <c r="V7" s="349"/>
      <c r="W7" s="345"/>
      <c r="X7" s="344"/>
      <c r="Y7" s="349"/>
      <c r="Z7" s="345"/>
      <c r="AA7" s="329" t="s">
        <v>138</v>
      </c>
      <c r="AB7" s="330"/>
      <c r="AC7" s="330"/>
      <c r="AD7" s="330"/>
      <c r="AE7" s="331"/>
      <c r="AF7" s="329" t="s">
        <v>139</v>
      </c>
      <c r="AG7" s="330"/>
      <c r="AH7" s="330"/>
      <c r="AI7" s="330"/>
      <c r="AJ7" s="331"/>
      <c r="AK7" s="352" t="s">
        <v>140</v>
      </c>
      <c r="AL7" s="353"/>
      <c r="AM7" s="353"/>
      <c r="AN7" s="353"/>
      <c r="AO7" s="353"/>
      <c r="AP7" s="353"/>
      <c r="AQ7" s="353"/>
      <c r="AR7" s="353"/>
      <c r="AS7" s="353"/>
      <c r="AT7" s="353"/>
      <c r="AU7" s="353"/>
      <c r="AV7" s="353"/>
      <c r="AW7" s="353"/>
      <c r="AX7" s="354"/>
      <c r="AY7" s="352" t="s">
        <v>141</v>
      </c>
      <c r="AZ7" s="353"/>
      <c r="BA7" s="353"/>
      <c r="BB7" s="353"/>
      <c r="BC7" s="353"/>
      <c r="BD7" s="353"/>
      <c r="BE7" s="353"/>
      <c r="BF7" s="353"/>
      <c r="BG7" s="353"/>
      <c r="BH7" s="353"/>
      <c r="BI7" s="353"/>
      <c r="BJ7" s="353"/>
      <c r="BK7" s="353"/>
      <c r="BL7" s="353"/>
      <c r="BM7" s="353"/>
      <c r="BN7" s="353"/>
      <c r="BO7" s="353"/>
      <c r="BP7" s="354"/>
      <c r="BQ7" s="344"/>
      <c r="BR7" s="349"/>
      <c r="BS7" s="349"/>
      <c r="BT7" s="345"/>
      <c r="BU7" s="344"/>
      <c r="BV7" s="349"/>
      <c r="BW7" s="349"/>
      <c r="BX7" s="344"/>
      <c r="BY7" s="349"/>
      <c r="BZ7" s="349"/>
      <c r="CA7" s="349"/>
      <c r="CB7" s="349"/>
      <c r="CC7" s="349"/>
      <c r="CD7" s="349"/>
      <c r="CE7" s="349"/>
      <c r="CF7" s="349"/>
      <c r="CG7" s="349"/>
      <c r="CH7" s="349"/>
      <c r="CI7" s="349"/>
      <c r="CJ7" s="349"/>
      <c r="CK7" s="349"/>
      <c r="CL7" s="349"/>
      <c r="CM7" s="349"/>
      <c r="CN7" s="349"/>
      <c r="CO7" s="349"/>
      <c r="CP7" s="349"/>
      <c r="CQ7" s="349"/>
      <c r="CR7" s="345"/>
      <c r="CS7" s="344"/>
      <c r="CT7" s="349"/>
      <c r="CU7" s="349"/>
      <c r="CV7" s="356"/>
    </row>
    <row r="8" spans="1:100" s="67" customFormat="1" ht="40.5" customHeight="1" thickBot="1">
      <c r="A8" s="326"/>
      <c r="B8" s="327"/>
      <c r="C8" s="328"/>
      <c r="D8" s="335"/>
      <c r="E8" s="336"/>
      <c r="F8" s="337"/>
      <c r="G8" s="335"/>
      <c r="H8" s="336"/>
      <c r="I8" s="336"/>
      <c r="J8" s="336"/>
      <c r="K8" s="336"/>
      <c r="L8" s="336"/>
      <c r="M8" s="336"/>
      <c r="N8" s="336"/>
      <c r="O8" s="337"/>
      <c r="P8" s="346"/>
      <c r="Q8" s="347"/>
      <c r="R8" s="346"/>
      <c r="S8" s="350"/>
      <c r="T8" s="347"/>
      <c r="U8" s="346"/>
      <c r="V8" s="350"/>
      <c r="W8" s="347"/>
      <c r="X8" s="346"/>
      <c r="Y8" s="350"/>
      <c r="Z8" s="347"/>
      <c r="AA8" s="335"/>
      <c r="AB8" s="336"/>
      <c r="AC8" s="336"/>
      <c r="AD8" s="336"/>
      <c r="AE8" s="337"/>
      <c r="AF8" s="335"/>
      <c r="AG8" s="336"/>
      <c r="AH8" s="336"/>
      <c r="AI8" s="336"/>
      <c r="AJ8" s="337"/>
      <c r="AK8" s="313" t="s">
        <v>142</v>
      </c>
      <c r="AL8" s="314"/>
      <c r="AM8" s="317" t="s">
        <v>143</v>
      </c>
      <c r="AN8" s="314"/>
      <c r="AO8" s="317" t="s">
        <v>144</v>
      </c>
      <c r="AP8" s="314"/>
      <c r="AQ8" s="313" t="s">
        <v>145</v>
      </c>
      <c r="AR8" s="314"/>
      <c r="AS8" s="315" t="s">
        <v>146</v>
      </c>
      <c r="AT8" s="316"/>
      <c r="AU8" s="313" t="s">
        <v>147</v>
      </c>
      <c r="AV8" s="314"/>
      <c r="AW8" s="313" t="s">
        <v>148</v>
      </c>
      <c r="AX8" s="314"/>
      <c r="AY8" s="313" t="s">
        <v>142</v>
      </c>
      <c r="AZ8" s="314"/>
      <c r="BA8" s="317" t="s">
        <v>143</v>
      </c>
      <c r="BB8" s="314"/>
      <c r="BC8" s="317" t="s">
        <v>144</v>
      </c>
      <c r="BD8" s="314"/>
      <c r="BE8" s="313" t="s">
        <v>145</v>
      </c>
      <c r="BF8" s="314"/>
      <c r="BG8" s="313" t="s">
        <v>149</v>
      </c>
      <c r="BH8" s="314"/>
      <c r="BI8" s="313" t="s">
        <v>150</v>
      </c>
      <c r="BJ8" s="314"/>
      <c r="BK8" s="315" t="s">
        <v>146</v>
      </c>
      <c r="BL8" s="316"/>
      <c r="BM8" s="313" t="s">
        <v>147</v>
      </c>
      <c r="BN8" s="314"/>
      <c r="BO8" s="313" t="s">
        <v>151</v>
      </c>
      <c r="BP8" s="314"/>
      <c r="BQ8" s="346"/>
      <c r="BR8" s="350"/>
      <c r="BS8" s="350"/>
      <c r="BT8" s="347"/>
      <c r="BU8" s="346"/>
      <c r="BV8" s="350"/>
      <c r="BW8" s="350"/>
      <c r="BX8" s="346"/>
      <c r="BY8" s="350"/>
      <c r="BZ8" s="350"/>
      <c r="CA8" s="350"/>
      <c r="CB8" s="350"/>
      <c r="CC8" s="350"/>
      <c r="CD8" s="350"/>
      <c r="CE8" s="350"/>
      <c r="CF8" s="350"/>
      <c r="CG8" s="350"/>
      <c r="CH8" s="350"/>
      <c r="CI8" s="350"/>
      <c r="CJ8" s="350"/>
      <c r="CK8" s="350"/>
      <c r="CL8" s="350"/>
      <c r="CM8" s="350"/>
      <c r="CN8" s="350"/>
      <c r="CO8" s="350"/>
      <c r="CP8" s="350"/>
      <c r="CQ8" s="350"/>
      <c r="CR8" s="347"/>
      <c r="CS8" s="346"/>
      <c r="CT8" s="350"/>
      <c r="CU8" s="350"/>
      <c r="CV8" s="357"/>
    </row>
    <row r="9" spans="1:100" s="134" customFormat="1" ht="13.5" customHeight="1" thickTop="1">
      <c r="A9" s="301"/>
      <c r="B9" s="302"/>
      <c r="C9" s="303"/>
      <c r="D9" s="310"/>
      <c r="E9" s="302"/>
      <c r="F9" s="303"/>
      <c r="G9" s="310"/>
      <c r="H9" s="302"/>
      <c r="I9" s="302"/>
      <c r="J9" s="302"/>
      <c r="K9" s="302"/>
      <c r="L9" s="302"/>
      <c r="M9" s="302"/>
      <c r="N9" s="302"/>
      <c r="O9" s="303"/>
      <c r="P9" s="289"/>
      <c r="Q9" s="290"/>
      <c r="R9" s="289"/>
      <c r="S9" s="295"/>
      <c r="T9" s="290"/>
      <c r="U9" s="289"/>
      <c r="V9" s="295"/>
      <c r="W9" s="290"/>
      <c r="X9" s="289"/>
      <c r="Y9" s="295"/>
      <c r="Z9" s="290"/>
      <c r="AA9" s="289"/>
      <c r="AB9" s="295"/>
      <c r="AC9" s="295"/>
      <c r="AD9" s="295"/>
      <c r="AE9" s="290"/>
      <c r="AF9" s="289"/>
      <c r="AG9" s="295"/>
      <c r="AH9" s="295"/>
      <c r="AI9" s="295"/>
      <c r="AJ9" s="290"/>
      <c r="AK9" s="289"/>
      <c r="AL9" s="290"/>
      <c r="AM9" s="289"/>
      <c r="AN9" s="290"/>
      <c r="AO9" s="289"/>
      <c r="AP9" s="290"/>
      <c r="AQ9" s="289"/>
      <c r="AR9" s="290"/>
      <c r="AS9" s="289"/>
      <c r="AT9" s="290"/>
      <c r="AU9" s="289"/>
      <c r="AV9" s="290"/>
      <c r="AW9" s="289"/>
      <c r="AX9" s="290"/>
      <c r="AY9" s="289"/>
      <c r="AZ9" s="290"/>
      <c r="BA9" s="289"/>
      <c r="BB9" s="290"/>
      <c r="BC9" s="289"/>
      <c r="BD9" s="290"/>
      <c r="BE9" s="289"/>
      <c r="BF9" s="290"/>
      <c r="BG9" s="289"/>
      <c r="BH9" s="290"/>
      <c r="BI9" s="289"/>
      <c r="BJ9" s="290"/>
      <c r="BK9" s="289"/>
      <c r="BL9" s="290"/>
      <c r="BM9" s="289"/>
      <c r="BN9" s="290"/>
      <c r="BO9" s="289"/>
      <c r="BP9" s="290"/>
      <c r="BQ9" s="289"/>
      <c r="BR9" s="295"/>
      <c r="BS9" s="295"/>
      <c r="BT9" s="290"/>
      <c r="BU9" s="289"/>
      <c r="BV9" s="295"/>
      <c r="BW9" s="290"/>
      <c r="BX9" s="289"/>
      <c r="BY9" s="295"/>
      <c r="BZ9" s="295"/>
      <c r="CA9" s="295"/>
      <c r="CB9" s="295"/>
      <c r="CC9" s="295"/>
      <c r="CD9" s="295"/>
      <c r="CE9" s="295"/>
      <c r="CF9" s="295"/>
      <c r="CG9" s="295"/>
      <c r="CH9" s="295"/>
      <c r="CI9" s="295"/>
      <c r="CJ9" s="295"/>
      <c r="CK9" s="295"/>
      <c r="CL9" s="295"/>
      <c r="CM9" s="295"/>
      <c r="CN9" s="295"/>
      <c r="CO9" s="295"/>
      <c r="CP9" s="295"/>
      <c r="CQ9" s="295"/>
      <c r="CR9" s="290"/>
      <c r="CS9" s="289"/>
      <c r="CT9" s="295"/>
      <c r="CU9" s="295"/>
      <c r="CV9" s="298"/>
    </row>
    <row r="10" spans="1:100" s="134" customFormat="1" ht="13.5" customHeight="1">
      <c r="A10" s="304"/>
      <c r="B10" s="305"/>
      <c r="C10" s="306"/>
      <c r="D10" s="311"/>
      <c r="E10" s="305"/>
      <c r="F10" s="306"/>
      <c r="G10" s="311"/>
      <c r="H10" s="305"/>
      <c r="I10" s="305"/>
      <c r="J10" s="305"/>
      <c r="K10" s="305"/>
      <c r="L10" s="305"/>
      <c r="M10" s="305"/>
      <c r="N10" s="305"/>
      <c r="O10" s="306"/>
      <c r="P10" s="291"/>
      <c r="Q10" s="292"/>
      <c r="R10" s="291"/>
      <c r="S10" s="296"/>
      <c r="T10" s="292"/>
      <c r="U10" s="291"/>
      <c r="V10" s="296"/>
      <c r="W10" s="292"/>
      <c r="X10" s="291"/>
      <c r="Y10" s="296"/>
      <c r="Z10" s="292"/>
      <c r="AA10" s="291"/>
      <c r="AB10" s="296"/>
      <c r="AC10" s="296"/>
      <c r="AD10" s="296"/>
      <c r="AE10" s="292"/>
      <c r="AF10" s="291"/>
      <c r="AG10" s="296"/>
      <c r="AH10" s="296"/>
      <c r="AI10" s="296"/>
      <c r="AJ10" s="292"/>
      <c r="AK10" s="291"/>
      <c r="AL10" s="292"/>
      <c r="AM10" s="291"/>
      <c r="AN10" s="292"/>
      <c r="AO10" s="291"/>
      <c r="AP10" s="292"/>
      <c r="AQ10" s="291"/>
      <c r="AR10" s="292"/>
      <c r="AS10" s="291"/>
      <c r="AT10" s="292"/>
      <c r="AU10" s="291"/>
      <c r="AV10" s="292"/>
      <c r="AW10" s="291"/>
      <c r="AX10" s="292"/>
      <c r="AY10" s="291"/>
      <c r="AZ10" s="292"/>
      <c r="BA10" s="291"/>
      <c r="BB10" s="292"/>
      <c r="BC10" s="291"/>
      <c r="BD10" s="292"/>
      <c r="BE10" s="291"/>
      <c r="BF10" s="292"/>
      <c r="BG10" s="291"/>
      <c r="BH10" s="292"/>
      <c r="BI10" s="291"/>
      <c r="BJ10" s="292"/>
      <c r="BK10" s="291"/>
      <c r="BL10" s="292"/>
      <c r="BM10" s="291"/>
      <c r="BN10" s="292"/>
      <c r="BO10" s="291"/>
      <c r="BP10" s="292"/>
      <c r="BQ10" s="291"/>
      <c r="BR10" s="296"/>
      <c r="BS10" s="296"/>
      <c r="BT10" s="292"/>
      <c r="BU10" s="291"/>
      <c r="BV10" s="296"/>
      <c r="BW10" s="292"/>
      <c r="BX10" s="291"/>
      <c r="BY10" s="296"/>
      <c r="BZ10" s="296"/>
      <c r="CA10" s="296"/>
      <c r="CB10" s="296"/>
      <c r="CC10" s="296"/>
      <c r="CD10" s="296"/>
      <c r="CE10" s="296"/>
      <c r="CF10" s="296"/>
      <c r="CG10" s="296"/>
      <c r="CH10" s="296"/>
      <c r="CI10" s="296"/>
      <c r="CJ10" s="296"/>
      <c r="CK10" s="296"/>
      <c r="CL10" s="296"/>
      <c r="CM10" s="296"/>
      <c r="CN10" s="296"/>
      <c r="CO10" s="296"/>
      <c r="CP10" s="296"/>
      <c r="CQ10" s="296"/>
      <c r="CR10" s="292"/>
      <c r="CS10" s="291"/>
      <c r="CT10" s="296"/>
      <c r="CU10" s="296"/>
      <c r="CV10" s="299"/>
    </row>
    <row r="11" spans="1:100" s="134" customFormat="1" ht="13.5" customHeight="1">
      <c r="A11" s="304"/>
      <c r="B11" s="305"/>
      <c r="C11" s="306"/>
      <c r="D11" s="311"/>
      <c r="E11" s="305"/>
      <c r="F11" s="306"/>
      <c r="G11" s="311"/>
      <c r="H11" s="305"/>
      <c r="I11" s="305"/>
      <c r="J11" s="305"/>
      <c r="K11" s="305"/>
      <c r="L11" s="305"/>
      <c r="M11" s="305"/>
      <c r="N11" s="305"/>
      <c r="O11" s="306"/>
      <c r="P11" s="291"/>
      <c r="Q11" s="292"/>
      <c r="R11" s="291"/>
      <c r="S11" s="296"/>
      <c r="T11" s="292"/>
      <c r="U11" s="291"/>
      <c r="V11" s="296"/>
      <c r="W11" s="292"/>
      <c r="X11" s="291"/>
      <c r="Y11" s="296"/>
      <c r="Z11" s="292"/>
      <c r="AA11" s="291"/>
      <c r="AB11" s="296"/>
      <c r="AC11" s="296"/>
      <c r="AD11" s="296"/>
      <c r="AE11" s="292"/>
      <c r="AF11" s="291"/>
      <c r="AG11" s="296"/>
      <c r="AH11" s="296"/>
      <c r="AI11" s="296"/>
      <c r="AJ11" s="292"/>
      <c r="AK11" s="291"/>
      <c r="AL11" s="292"/>
      <c r="AM11" s="291"/>
      <c r="AN11" s="292"/>
      <c r="AO11" s="291"/>
      <c r="AP11" s="292"/>
      <c r="AQ11" s="291"/>
      <c r="AR11" s="292"/>
      <c r="AS11" s="291"/>
      <c r="AT11" s="292"/>
      <c r="AU11" s="291"/>
      <c r="AV11" s="292"/>
      <c r="AW11" s="291"/>
      <c r="AX11" s="292"/>
      <c r="AY11" s="291"/>
      <c r="AZ11" s="292"/>
      <c r="BA11" s="291"/>
      <c r="BB11" s="292"/>
      <c r="BC11" s="291"/>
      <c r="BD11" s="292"/>
      <c r="BE11" s="291"/>
      <c r="BF11" s="292"/>
      <c r="BG11" s="291"/>
      <c r="BH11" s="292"/>
      <c r="BI11" s="291"/>
      <c r="BJ11" s="292"/>
      <c r="BK11" s="291"/>
      <c r="BL11" s="292"/>
      <c r="BM11" s="291"/>
      <c r="BN11" s="292"/>
      <c r="BO11" s="291"/>
      <c r="BP11" s="292"/>
      <c r="BQ11" s="291"/>
      <c r="BR11" s="296"/>
      <c r="BS11" s="296"/>
      <c r="BT11" s="292"/>
      <c r="BU11" s="291"/>
      <c r="BV11" s="296"/>
      <c r="BW11" s="292"/>
      <c r="BX11" s="291"/>
      <c r="BY11" s="296"/>
      <c r="BZ11" s="296"/>
      <c r="CA11" s="296"/>
      <c r="CB11" s="296"/>
      <c r="CC11" s="296"/>
      <c r="CD11" s="296"/>
      <c r="CE11" s="296"/>
      <c r="CF11" s="296"/>
      <c r="CG11" s="296"/>
      <c r="CH11" s="296"/>
      <c r="CI11" s="296"/>
      <c r="CJ11" s="296"/>
      <c r="CK11" s="296"/>
      <c r="CL11" s="296"/>
      <c r="CM11" s="296"/>
      <c r="CN11" s="296"/>
      <c r="CO11" s="296"/>
      <c r="CP11" s="296"/>
      <c r="CQ11" s="296"/>
      <c r="CR11" s="292"/>
      <c r="CS11" s="291"/>
      <c r="CT11" s="296"/>
      <c r="CU11" s="296"/>
      <c r="CV11" s="299"/>
    </row>
    <row r="12" spans="1:100" s="134" customFormat="1" ht="13.5" customHeight="1" thickBot="1">
      <c r="A12" s="307"/>
      <c r="B12" s="308"/>
      <c r="C12" s="309"/>
      <c r="D12" s="312"/>
      <c r="E12" s="308"/>
      <c r="F12" s="309"/>
      <c r="G12" s="312"/>
      <c r="H12" s="308"/>
      <c r="I12" s="308"/>
      <c r="J12" s="308"/>
      <c r="K12" s="308"/>
      <c r="L12" s="308"/>
      <c r="M12" s="308"/>
      <c r="N12" s="308"/>
      <c r="O12" s="309"/>
      <c r="P12" s="293"/>
      <c r="Q12" s="294"/>
      <c r="R12" s="293"/>
      <c r="S12" s="297"/>
      <c r="T12" s="294"/>
      <c r="U12" s="293"/>
      <c r="V12" s="297"/>
      <c r="W12" s="294"/>
      <c r="X12" s="293"/>
      <c r="Y12" s="297"/>
      <c r="Z12" s="294"/>
      <c r="AA12" s="293"/>
      <c r="AB12" s="297"/>
      <c r="AC12" s="297"/>
      <c r="AD12" s="297"/>
      <c r="AE12" s="294"/>
      <c r="AF12" s="293"/>
      <c r="AG12" s="297"/>
      <c r="AH12" s="297"/>
      <c r="AI12" s="297"/>
      <c r="AJ12" s="294"/>
      <c r="AK12" s="293"/>
      <c r="AL12" s="294"/>
      <c r="AM12" s="293"/>
      <c r="AN12" s="294"/>
      <c r="AO12" s="293"/>
      <c r="AP12" s="294"/>
      <c r="AQ12" s="293"/>
      <c r="AR12" s="294"/>
      <c r="AS12" s="293"/>
      <c r="AT12" s="294"/>
      <c r="AU12" s="293"/>
      <c r="AV12" s="294"/>
      <c r="AW12" s="293"/>
      <c r="AX12" s="294"/>
      <c r="AY12" s="293"/>
      <c r="AZ12" s="294"/>
      <c r="BA12" s="293"/>
      <c r="BB12" s="294"/>
      <c r="BC12" s="293"/>
      <c r="BD12" s="294"/>
      <c r="BE12" s="293"/>
      <c r="BF12" s="294"/>
      <c r="BG12" s="293"/>
      <c r="BH12" s="294"/>
      <c r="BI12" s="293"/>
      <c r="BJ12" s="294"/>
      <c r="BK12" s="293"/>
      <c r="BL12" s="294"/>
      <c r="BM12" s="293"/>
      <c r="BN12" s="294"/>
      <c r="BO12" s="293"/>
      <c r="BP12" s="294"/>
      <c r="BQ12" s="293"/>
      <c r="BR12" s="297"/>
      <c r="BS12" s="297"/>
      <c r="BT12" s="294"/>
      <c r="BU12" s="293"/>
      <c r="BV12" s="297"/>
      <c r="BW12" s="294"/>
      <c r="BX12" s="293"/>
      <c r="BY12" s="297"/>
      <c r="BZ12" s="297"/>
      <c r="CA12" s="297"/>
      <c r="CB12" s="297"/>
      <c r="CC12" s="297"/>
      <c r="CD12" s="297"/>
      <c r="CE12" s="297"/>
      <c r="CF12" s="297"/>
      <c r="CG12" s="297"/>
      <c r="CH12" s="297"/>
      <c r="CI12" s="297"/>
      <c r="CJ12" s="297"/>
      <c r="CK12" s="297"/>
      <c r="CL12" s="297"/>
      <c r="CM12" s="297"/>
      <c r="CN12" s="297"/>
      <c r="CO12" s="297"/>
      <c r="CP12" s="297"/>
      <c r="CQ12" s="297"/>
      <c r="CR12" s="294"/>
      <c r="CS12" s="293"/>
      <c r="CT12" s="297"/>
      <c r="CU12" s="297"/>
      <c r="CV12" s="300"/>
    </row>
    <row r="13" spans="1:100" s="134" customFormat="1" ht="13.5" customHeight="1" thickTop="1">
      <c r="A13" s="301"/>
      <c r="B13" s="302"/>
      <c r="C13" s="303"/>
      <c r="D13" s="310"/>
      <c r="E13" s="302"/>
      <c r="F13" s="303"/>
      <c r="G13" s="310"/>
      <c r="H13" s="302"/>
      <c r="I13" s="302"/>
      <c r="J13" s="302"/>
      <c r="K13" s="302"/>
      <c r="L13" s="302"/>
      <c r="M13" s="302"/>
      <c r="N13" s="302"/>
      <c r="O13" s="303"/>
      <c r="P13" s="289"/>
      <c r="Q13" s="290"/>
      <c r="R13" s="289"/>
      <c r="S13" s="295"/>
      <c r="T13" s="290"/>
      <c r="U13" s="289"/>
      <c r="V13" s="295"/>
      <c r="W13" s="290"/>
      <c r="X13" s="289"/>
      <c r="Y13" s="295"/>
      <c r="Z13" s="290"/>
      <c r="AA13" s="289"/>
      <c r="AB13" s="295"/>
      <c r="AC13" s="295"/>
      <c r="AD13" s="295"/>
      <c r="AE13" s="290"/>
      <c r="AF13" s="289"/>
      <c r="AG13" s="295"/>
      <c r="AH13" s="295"/>
      <c r="AI13" s="295"/>
      <c r="AJ13" s="290"/>
      <c r="AK13" s="289"/>
      <c r="AL13" s="290"/>
      <c r="AM13" s="289"/>
      <c r="AN13" s="290"/>
      <c r="AO13" s="289"/>
      <c r="AP13" s="290"/>
      <c r="AQ13" s="289"/>
      <c r="AR13" s="290"/>
      <c r="AS13" s="289"/>
      <c r="AT13" s="290"/>
      <c r="AU13" s="289"/>
      <c r="AV13" s="290"/>
      <c r="AW13" s="289"/>
      <c r="AX13" s="290"/>
      <c r="AY13" s="289"/>
      <c r="AZ13" s="290"/>
      <c r="BA13" s="289"/>
      <c r="BB13" s="290"/>
      <c r="BC13" s="289"/>
      <c r="BD13" s="290"/>
      <c r="BE13" s="289"/>
      <c r="BF13" s="290"/>
      <c r="BG13" s="289"/>
      <c r="BH13" s="290"/>
      <c r="BI13" s="289"/>
      <c r="BJ13" s="290"/>
      <c r="BK13" s="289"/>
      <c r="BL13" s="290"/>
      <c r="BM13" s="289"/>
      <c r="BN13" s="290"/>
      <c r="BO13" s="289"/>
      <c r="BP13" s="290"/>
      <c r="BQ13" s="289"/>
      <c r="BR13" s="295"/>
      <c r="BS13" s="295"/>
      <c r="BT13" s="290"/>
      <c r="BU13" s="289"/>
      <c r="BV13" s="295"/>
      <c r="BW13" s="290"/>
      <c r="BX13" s="289"/>
      <c r="BY13" s="295"/>
      <c r="BZ13" s="295"/>
      <c r="CA13" s="295"/>
      <c r="CB13" s="295"/>
      <c r="CC13" s="295"/>
      <c r="CD13" s="295"/>
      <c r="CE13" s="295"/>
      <c r="CF13" s="295"/>
      <c r="CG13" s="295"/>
      <c r="CH13" s="295"/>
      <c r="CI13" s="295"/>
      <c r="CJ13" s="295"/>
      <c r="CK13" s="295"/>
      <c r="CL13" s="295"/>
      <c r="CM13" s="295"/>
      <c r="CN13" s="295"/>
      <c r="CO13" s="295"/>
      <c r="CP13" s="295"/>
      <c r="CQ13" s="295"/>
      <c r="CR13" s="290"/>
      <c r="CS13" s="289"/>
      <c r="CT13" s="295"/>
      <c r="CU13" s="295"/>
      <c r="CV13" s="298"/>
    </row>
    <row r="14" spans="1:100" s="134" customFormat="1" ht="13.5" customHeight="1">
      <c r="A14" s="304"/>
      <c r="B14" s="305"/>
      <c r="C14" s="306"/>
      <c r="D14" s="311"/>
      <c r="E14" s="305"/>
      <c r="F14" s="306"/>
      <c r="G14" s="311"/>
      <c r="H14" s="305"/>
      <c r="I14" s="305"/>
      <c r="J14" s="305"/>
      <c r="K14" s="305"/>
      <c r="L14" s="305"/>
      <c r="M14" s="305"/>
      <c r="N14" s="305"/>
      <c r="O14" s="306"/>
      <c r="P14" s="291"/>
      <c r="Q14" s="292"/>
      <c r="R14" s="291"/>
      <c r="S14" s="296"/>
      <c r="T14" s="292"/>
      <c r="U14" s="291"/>
      <c r="V14" s="296"/>
      <c r="W14" s="292"/>
      <c r="X14" s="291"/>
      <c r="Y14" s="296"/>
      <c r="Z14" s="292"/>
      <c r="AA14" s="291"/>
      <c r="AB14" s="296"/>
      <c r="AC14" s="296"/>
      <c r="AD14" s="296"/>
      <c r="AE14" s="292"/>
      <c r="AF14" s="291"/>
      <c r="AG14" s="296"/>
      <c r="AH14" s="296"/>
      <c r="AI14" s="296"/>
      <c r="AJ14" s="292"/>
      <c r="AK14" s="291"/>
      <c r="AL14" s="292"/>
      <c r="AM14" s="291"/>
      <c r="AN14" s="292"/>
      <c r="AO14" s="291"/>
      <c r="AP14" s="292"/>
      <c r="AQ14" s="291"/>
      <c r="AR14" s="292"/>
      <c r="AS14" s="291"/>
      <c r="AT14" s="292"/>
      <c r="AU14" s="291"/>
      <c r="AV14" s="292"/>
      <c r="AW14" s="291"/>
      <c r="AX14" s="292"/>
      <c r="AY14" s="291"/>
      <c r="AZ14" s="292"/>
      <c r="BA14" s="291"/>
      <c r="BB14" s="292"/>
      <c r="BC14" s="291"/>
      <c r="BD14" s="292"/>
      <c r="BE14" s="291"/>
      <c r="BF14" s="292"/>
      <c r="BG14" s="291"/>
      <c r="BH14" s="292"/>
      <c r="BI14" s="291"/>
      <c r="BJ14" s="292"/>
      <c r="BK14" s="291"/>
      <c r="BL14" s="292"/>
      <c r="BM14" s="291"/>
      <c r="BN14" s="292"/>
      <c r="BO14" s="291"/>
      <c r="BP14" s="292"/>
      <c r="BQ14" s="291"/>
      <c r="BR14" s="296"/>
      <c r="BS14" s="296"/>
      <c r="BT14" s="292"/>
      <c r="BU14" s="291"/>
      <c r="BV14" s="296"/>
      <c r="BW14" s="292"/>
      <c r="BX14" s="291"/>
      <c r="BY14" s="296"/>
      <c r="BZ14" s="296"/>
      <c r="CA14" s="296"/>
      <c r="CB14" s="296"/>
      <c r="CC14" s="296"/>
      <c r="CD14" s="296"/>
      <c r="CE14" s="296"/>
      <c r="CF14" s="296"/>
      <c r="CG14" s="296"/>
      <c r="CH14" s="296"/>
      <c r="CI14" s="296"/>
      <c r="CJ14" s="296"/>
      <c r="CK14" s="296"/>
      <c r="CL14" s="296"/>
      <c r="CM14" s="296"/>
      <c r="CN14" s="296"/>
      <c r="CO14" s="296"/>
      <c r="CP14" s="296"/>
      <c r="CQ14" s="296"/>
      <c r="CR14" s="292"/>
      <c r="CS14" s="291"/>
      <c r="CT14" s="296"/>
      <c r="CU14" s="296"/>
      <c r="CV14" s="299"/>
    </row>
    <row r="15" spans="1:100" s="134" customFormat="1" ht="13.5" customHeight="1">
      <c r="A15" s="304"/>
      <c r="B15" s="305"/>
      <c r="C15" s="306"/>
      <c r="D15" s="311"/>
      <c r="E15" s="305"/>
      <c r="F15" s="306"/>
      <c r="G15" s="311"/>
      <c r="H15" s="305"/>
      <c r="I15" s="305"/>
      <c r="J15" s="305"/>
      <c r="K15" s="305"/>
      <c r="L15" s="305"/>
      <c r="M15" s="305"/>
      <c r="N15" s="305"/>
      <c r="O15" s="306"/>
      <c r="P15" s="291"/>
      <c r="Q15" s="292"/>
      <c r="R15" s="291"/>
      <c r="S15" s="296"/>
      <c r="T15" s="292"/>
      <c r="U15" s="291"/>
      <c r="V15" s="296"/>
      <c r="W15" s="292"/>
      <c r="X15" s="291"/>
      <c r="Y15" s="296"/>
      <c r="Z15" s="292"/>
      <c r="AA15" s="291"/>
      <c r="AB15" s="296"/>
      <c r="AC15" s="296"/>
      <c r="AD15" s="296"/>
      <c r="AE15" s="292"/>
      <c r="AF15" s="291"/>
      <c r="AG15" s="296"/>
      <c r="AH15" s="296"/>
      <c r="AI15" s="296"/>
      <c r="AJ15" s="292"/>
      <c r="AK15" s="291"/>
      <c r="AL15" s="292"/>
      <c r="AM15" s="291"/>
      <c r="AN15" s="292"/>
      <c r="AO15" s="291"/>
      <c r="AP15" s="292"/>
      <c r="AQ15" s="291"/>
      <c r="AR15" s="292"/>
      <c r="AS15" s="291"/>
      <c r="AT15" s="292"/>
      <c r="AU15" s="291"/>
      <c r="AV15" s="292"/>
      <c r="AW15" s="291"/>
      <c r="AX15" s="292"/>
      <c r="AY15" s="291"/>
      <c r="AZ15" s="292"/>
      <c r="BA15" s="291"/>
      <c r="BB15" s="292"/>
      <c r="BC15" s="291"/>
      <c r="BD15" s="292"/>
      <c r="BE15" s="291"/>
      <c r="BF15" s="292"/>
      <c r="BG15" s="291"/>
      <c r="BH15" s="292"/>
      <c r="BI15" s="291"/>
      <c r="BJ15" s="292"/>
      <c r="BK15" s="291"/>
      <c r="BL15" s="292"/>
      <c r="BM15" s="291"/>
      <c r="BN15" s="292"/>
      <c r="BO15" s="291"/>
      <c r="BP15" s="292"/>
      <c r="BQ15" s="291"/>
      <c r="BR15" s="296"/>
      <c r="BS15" s="296"/>
      <c r="BT15" s="292"/>
      <c r="BU15" s="291"/>
      <c r="BV15" s="296"/>
      <c r="BW15" s="292"/>
      <c r="BX15" s="291"/>
      <c r="BY15" s="296"/>
      <c r="BZ15" s="296"/>
      <c r="CA15" s="296"/>
      <c r="CB15" s="296"/>
      <c r="CC15" s="296"/>
      <c r="CD15" s="296"/>
      <c r="CE15" s="296"/>
      <c r="CF15" s="296"/>
      <c r="CG15" s="296"/>
      <c r="CH15" s="296"/>
      <c r="CI15" s="296"/>
      <c r="CJ15" s="296"/>
      <c r="CK15" s="296"/>
      <c r="CL15" s="296"/>
      <c r="CM15" s="296"/>
      <c r="CN15" s="296"/>
      <c r="CO15" s="296"/>
      <c r="CP15" s="296"/>
      <c r="CQ15" s="296"/>
      <c r="CR15" s="292"/>
      <c r="CS15" s="291"/>
      <c r="CT15" s="296"/>
      <c r="CU15" s="296"/>
      <c r="CV15" s="299"/>
    </row>
    <row r="16" spans="1:100" s="134" customFormat="1" ht="13.5" customHeight="1" thickBot="1">
      <c r="A16" s="307"/>
      <c r="B16" s="308"/>
      <c r="C16" s="309"/>
      <c r="D16" s="312"/>
      <c r="E16" s="308"/>
      <c r="F16" s="309"/>
      <c r="G16" s="312"/>
      <c r="H16" s="308"/>
      <c r="I16" s="308"/>
      <c r="J16" s="308"/>
      <c r="K16" s="308"/>
      <c r="L16" s="308"/>
      <c r="M16" s="308"/>
      <c r="N16" s="308"/>
      <c r="O16" s="309"/>
      <c r="P16" s="293"/>
      <c r="Q16" s="294"/>
      <c r="R16" s="293"/>
      <c r="S16" s="297"/>
      <c r="T16" s="294"/>
      <c r="U16" s="293"/>
      <c r="V16" s="297"/>
      <c r="W16" s="294"/>
      <c r="X16" s="293"/>
      <c r="Y16" s="297"/>
      <c r="Z16" s="294"/>
      <c r="AA16" s="293"/>
      <c r="AB16" s="297"/>
      <c r="AC16" s="297"/>
      <c r="AD16" s="297"/>
      <c r="AE16" s="294"/>
      <c r="AF16" s="293"/>
      <c r="AG16" s="297"/>
      <c r="AH16" s="297"/>
      <c r="AI16" s="297"/>
      <c r="AJ16" s="294"/>
      <c r="AK16" s="293"/>
      <c r="AL16" s="294"/>
      <c r="AM16" s="293"/>
      <c r="AN16" s="294"/>
      <c r="AO16" s="293"/>
      <c r="AP16" s="294"/>
      <c r="AQ16" s="293"/>
      <c r="AR16" s="294"/>
      <c r="AS16" s="293"/>
      <c r="AT16" s="294"/>
      <c r="AU16" s="293"/>
      <c r="AV16" s="294"/>
      <c r="AW16" s="293"/>
      <c r="AX16" s="294"/>
      <c r="AY16" s="293"/>
      <c r="AZ16" s="294"/>
      <c r="BA16" s="293"/>
      <c r="BB16" s="294"/>
      <c r="BC16" s="293"/>
      <c r="BD16" s="294"/>
      <c r="BE16" s="293"/>
      <c r="BF16" s="294"/>
      <c r="BG16" s="293"/>
      <c r="BH16" s="294"/>
      <c r="BI16" s="293"/>
      <c r="BJ16" s="294"/>
      <c r="BK16" s="293"/>
      <c r="BL16" s="294"/>
      <c r="BM16" s="293"/>
      <c r="BN16" s="294"/>
      <c r="BO16" s="293"/>
      <c r="BP16" s="294"/>
      <c r="BQ16" s="293"/>
      <c r="BR16" s="297"/>
      <c r="BS16" s="297"/>
      <c r="BT16" s="294"/>
      <c r="BU16" s="293"/>
      <c r="BV16" s="297"/>
      <c r="BW16" s="294"/>
      <c r="BX16" s="293"/>
      <c r="BY16" s="297"/>
      <c r="BZ16" s="297"/>
      <c r="CA16" s="297"/>
      <c r="CB16" s="297"/>
      <c r="CC16" s="297"/>
      <c r="CD16" s="297"/>
      <c r="CE16" s="297"/>
      <c r="CF16" s="297"/>
      <c r="CG16" s="297"/>
      <c r="CH16" s="297"/>
      <c r="CI16" s="297"/>
      <c r="CJ16" s="297"/>
      <c r="CK16" s="297"/>
      <c r="CL16" s="297"/>
      <c r="CM16" s="297"/>
      <c r="CN16" s="297"/>
      <c r="CO16" s="297"/>
      <c r="CP16" s="297"/>
      <c r="CQ16" s="297"/>
      <c r="CR16" s="294"/>
      <c r="CS16" s="293"/>
      <c r="CT16" s="297"/>
      <c r="CU16" s="297"/>
      <c r="CV16" s="300"/>
    </row>
    <row r="17" spans="1:100" s="134" customFormat="1" ht="13.5" customHeight="1" thickTop="1">
      <c r="A17" s="301"/>
      <c r="B17" s="302"/>
      <c r="C17" s="303"/>
      <c r="D17" s="310"/>
      <c r="E17" s="302"/>
      <c r="F17" s="303"/>
      <c r="G17" s="310"/>
      <c r="H17" s="302"/>
      <c r="I17" s="302"/>
      <c r="J17" s="302"/>
      <c r="K17" s="302"/>
      <c r="L17" s="302"/>
      <c r="M17" s="302"/>
      <c r="N17" s="302"/>
      <c r="O17" s="303"/>
      <c r="P17" s="289"/>
      <c r="Q17" s="290"/>
      <c r="R17" s="289"/>
      <c r="S17" s="295"/>
      <c r="T17" s="290"/>
      <c r="U17" s="289"/>
      <c r="V17" s="295"/>
      <c r="W17" s="290"/>
      <c r="X17" s="289"/>
      <c r="Y17" s="295"/>
      <c r="Z17" s="290"/>
      <c r="AA17" s="289"/>
      <c r="AB17" s="295"/>
      <c r="AC17" s="295"/>
      <c r="AD17" s="295"/>
      <c r="AE17" s="290"/>
      <c r="AF17" s="289"/>
      <c r="AG17" s="295"/>
      <c r="AH17" s="295"/>
      <c r="AI17" s="295"/>
      <c r="AJ17" s="290"/>
      <c r="AK17" s="289"/>
      <c r="AL17" s="290"/>
      <c r="AM17" s="289"/>
      <c r="AN17" s="290"/>
      <c r="AO17" s="289"/>
      <c r="AP17" s="290"/>
      <c r="AQ17" s="289"/>
      <c r="AR17" s="290"/>
      <c r="AS17" s="289"/>
      <c r="AT17" s="290"/>
      <c r="AU17" s="289"/>
      <c r="AV17" s="290"/>
      <c r="AW17" s="289"/>
      <c r="AX17" s="290"/>
      <c r="AY17" s="289"/>
      <c r="AZ17" s="290"/>
      <c r="BA17" s="289"/>
      <c r="BB17" s="290"/>
      <c r="BC17" s="289"/>
      <c r="BD17" s="290"/>
      <c r="BE17" s="289"/>
      <c r="BF17" s="290"/>
      <c r="BG17" s="289"/>
      <c r="BH17" s="290"/>
      <c r="BI17" s="289"/>
      <c r="BJ17" s="290"/>
      <c r="BK17" s="289"/>
      <c r="BL17" s="290"/>
      <c r="BM17" s="289"/>
      <c r="BN17" s="290"/>
      <c r="BO17" s="289"/>
      <c r="BP17" s="290"/>
      <c r="BQ17" s="289"/>
      <c r="BR17" s="295"/>
      <c r="BS17" s="295"/>
      <c r="BT17" s="290"/>
      <c r="BU17" s="289"/>
      <c r="BV17" s="295"/>
      <c r="BW17" s="290"/>
      <c r="BX17" s="289"/>
      <c r="BY17" s="295"/>
      <c r="BZ17" s="295"/>
      <c r="CA17" s="295"/>
      <c r="CB17" s="295"/>
      <c r="CC17" s="295"/>
      <c r="CD17" s="295"/>
      <c r="CE17" s="295"/>
      <c r="CF17" s="295"/>
      <c r="CG17" s="295"/>
      <c r="CH17" s="295"/>
      <c r="CI17" s="295"/>
      <c r="CJ17" s="295"/>
      <c r="CK17" s="295"/>
      <c r="CL17" s="295"/>
      <c r="CM17" s="295"/>
      <c r="CN17" s="295"/>
      <c r="CO17" s="295"/>
      <c r="CP17" s="295"/>
      <c r="CQ17" s="295"/>
      <c r="CR17" s="290"/>
      <c r="CS17" s="289"/>
      <c r="CT17" s="295"/>
      <c r="CU17" s="295"/>
      <c r="CV17" s="298"/>
    </row>
    <row r="18" spans="1:100" s="134" customFormat="1" ht="13.5" customHeight="1">
      <c r="A18" s="304"/>
      <c r="B18" s="305"/>
      <c r="C18" s="306"/>
      <c r="D18" s="311"/>
      <c r="E18" s="305"/>
      <c r="F18" s="306"/>
      <c r="G18" s="311"/>
      <c r="H18" s="305"/>
      <c r="I18" s="305"/>
      <c r="J18" s="305"/>
      <c r="K18" s="305"/>
      <c r="L18" s="305"/>
      <c r="M18" s="305"/>
      <c r="N18" s="305"/>
      <c r="O18" s="306"/>
      <c r="P18" s="291"/>
      <c r="Q18" s="292"/>
      <c r="R18" s="291"/>
      <c r="S18" s="296"/>
      <c r="T18" s="292"/>
      <c r="U18" s="291"/>
      <c r="V18" s="296"/>
      <c r="W18" s="292"/>
      <c r="X18" s="291"/>
      <c r="Y18" s="296"/>
      <c r="Z18" s="292"/>
      <c r="AA18" s="291"/>
      <c r="AB18" s="296"/>
      <c r="AC18" s="296"/>
      <c r="AD18" s="296"/>
      <c r="AE18" s="292"/>
      <c r="AF18" s="291"/>
      <c r="AG18" s="296"/>
      <c r="AH18" s="296"/>
      <c r="AI18" s="296"/>
      <c r="AJ18" s="292"/>
      <c r="AK18" s="291"/>
      <c r="AL18" s="292"/>
      <c r="AM18" s="291"/>
      <c r="AN18" s="292"/>
      <c r="AO18" s="291"/>
      <c r="AP18" s="292"/>
      <c r="AQ18" s="291"/>
      <c r="AR18" s="292"/>
      <c r="AS18" s="291"/>
      <c r="AT18" s="292"/>
      <c r="AU18" s="291"/>
      <c r="AV18" s="292"/>
      <c r="AW18" s="291"/>
      <c r="AX18" s="292"/>
      <c r="AY18" s="291"/>
      <c r="AZ18" s="292"/>
      <c r="BA18" s="291"/>
      <c r="BB18" s="292"/>
      <c r="BC18" s="291"/>
      <c r="BD18" s="292"/>
      <c r="BE18" s="291"/>
      <c r="BF18" s="292"/>
      <c r="BG18" s="291"/>
      <c r="BH18" s="292"/>
      <c r="BI18" s="291"/>
      <c r="BJ18" s="292"/>
      <c r="BK18" s="291"/>
      <c r="BL18" s="292"/>
      <c r="BM18" s="291"/>
      <c r="BN18" s="292"/>
      <c r="BO18" s="291"/>
      <c r="BP18" s="292"/>
      <c r="BQ18" s="291"/>
      <c r="BR18" s="296"/>
      <c r="BS18" s="296"/>
      <c r="BT18" s="292"/>
      <c r="BU18" s="291"/>
      <c r="BV18" s="296"/>
      <c r="BW18" s="292"/>
      <c r="BX18" s="291"/>
      <c r="BY18" s="296"/>
      <c r="BZ18" s="296"/>
      <c r="CA18" s="296"/>
      <c r="CB18" s="296"/>
      <c r="CC18" s="296"/>
      <c r="CD18" s="296"/>
      <c r="CE18" s="296"/>
      <c r="CF18" s="296"/>
      <c r="CG18" s="296"/>
      <c r="CH18" s="296"/>
      <c r="CI18" s="296"/>
      <c r="CJ18" s="296"/>
      <c r="CK18" s="296"/>
      <c r="CL18" s="296"/>
      <c r="CM18" s="296"/>
      <c r="CN18" s="296"/>
      <c r="CO18" s="296"/>
      <c r="CP18" s="296"/>
      <c r="CQ18" s="296"/>
      <c r="CR18" s="292"/>
      <c r="CS18" s="291"/>
      <c r="CT18" s="296"/>
      <c r="CU18" s="296"/>
      <c r="CV18" s="299"/>
    </row>
    <row r="19" spans="1:100" s="134" customFormat="1" ht="13.5" customHeight="1">
      <c r="A19" s="304"/>
      <c r="B19" s="305"/>
      <c r="C19" s="306"/>
      <c r="D19" s="311"/>
      <c r="E19" s="305"/>
      <c r="F19" s="306"/>
      <c r="G19" s="311"/>
      <c r="H19" s="305"/>
      <c r="I19" s="305"/>
      <c r="J19" s="305"/>
      <c r="K19" s="305"/>
      <c r="L19" s="305"/>
      <c r="M19" s="305"/>
      <c r="N19" s="305"/>
      <c r="O19" s="306"/>
      <c r="P19" s="291"/>
      <c r="Q19" s="292"/>
      <c r="R19" s="291"/>
      <c r="S19" s="296"/>
      <c r="T19" s="292"/>
      <c r="U19" s="291"/>
      <c r="V19" s="296"/>
      <c r="W19" s="292"/>
      <c r="X19" s="291"/>
      <c r="Y19" s="296"/>
      <c r="Z19" s="292"/>
      <c r="AA19" s="291"/>
      <c r="AB19" s="296"/>
      <c r="AC19" s="296"/>
      <c r="AD19" s="296"/>
      <c r="AE19" s="292"/>
      <c r="AF19" s="291"/>
      <c r="AG19" s="296"/>
      <c r="AH19" s="296"/>
      <c r="AI19" s="296"/>
      <c r="AJ19" s="292"/>
      <c r="AK19" s="291"/>
      <c r="AL19" s="292"/>
      <c r="AM19" s="291"/>
      <c r="AN19" s="292"/>
      <c r="AO19" s="291"/>
      <c r="AP19" s="292"/>
      <c r="AQ19" s="291"/>
      <c r="AR19" s="292"/>
      <c r="AS19" s="291"/>
      <c r="AT19" s="292"/>
      <c r="AU19" s="291"/>
      <c r="AV19" s="292"/>
      <c r="AW19" s="291"/>
      <c r="AX19" s="292"/>
      <c r="AY19" s="291"/>
      <c r="AZ19" s="292"/>
      <c r="BA19" s="291"/>
      <c r="BB19" s="292"/>
      <c r="BC19" s="291"/>
      <c r="BD19" s="292"/>
      <c r="BE19" s="291"/>
      <c r="BF19" s="292"/>
      <c r="BG19" s="291"/>
      <c r="BH19" s="292"/>
      <c r="BI19" s="291"/>
      <c r="BJ19" s="292"/>
      <c r="BK19" s="291"/>
      <c r="BL19" s="292"/>
      <c r="BM19" s="291"/>
      <c r="BN19" s="292"/>
      <c r="BO19" s="291"/>
      <c r="BP19" s="292"/>
      <c r="BQ19" s="291"/>
      <c r="BR19" s="296"/>
      <c r="BS19" s="296"/>
      <c r="BT19" s="292"/>
      <c r="BU19" s="291"/>
      <c r="BV19" s="296"/>
      <c r="BW19" s="292"/>
      <c r="BX19" s="291"/>
      <c r="BY19" s="296"/>
      <c r="BZ19" s="296"/>
      <c r="CA19" s="296"/>
      <c r="CB19" s="296"/>
      <c r="CC19" s="296"/>
      <c r="CD19" s="296"/>
      <c r="CE19" s="296"/>
      <c r="CF19" s="296"/>
      <c r="CG19" s="296"/>
      <c r="CH19" s="296"/>
      <c r="CI19" s="296"/>
      <c r="CJ19" s="296"/>
      <c r="CK19" s="296"/>
      <c r="CL19" s="296"/>
      <c r="CM19" s="296"/>
      <c r="CN19" s="296"/>
      <c r="CO19" s="296"/>
      <c r="CP19" s="296"/>
      <c r="CQ19" s="296"/>
      <c r="CR19" s="292"/>
      <c r="CS19" s="291"/>
      <c r="CT19" s="296"/>
      <c r="CU19" s="296"/>
      <c r="CV19" s="299"/>
    </row>
    <row r="20" spans="1:100" s="134" customFormat="1" ht="13.5" customHeight="1" thickBot="1">
      <c r="A20" s="307"/>
      <c r="B20" s="308"/>
      <c r="C20" s="309"/>
      <c r="D20" s="312"/>
      <c r="E20" s="308"/>
      <c r="F20" s="309"/>
      <c r="G20" s="312"/>
      <c r="H20" s="308"/>
      <c r="I20" s="308"/>
      <c r="J20" s="308"/>
      <c r="K20" s="308"/>
      <c r="L20" s="308"/>
      <c r="M20" s="308"/>
      <c r="N20" s="308"/>
      <c r="O20" s="309"/>
      <c r="P20" s="293"/>
      <c r="Q20" s="294"/>
      <c r="R20" s="293"/>
      <c r="S20" s="297"/>
      <c r="T20" s="294"/>
      <c r="U20" s="293"/>
      <c r="V20" s="297"/>
      <c r="W20" s="294"/>
      <c r="X20" s="293"/>
      <c r="Y20" s="297"/>
      <c r="Z20" s="294"/>
      <c r="AA20" s="293"/>
      <c r="AB20" s="297"/>
      <c r="AC20" s="297"/>
      <c r="AD20" s="297"/>
      <c r="AE20" s="294"/>
      <c r="AF20" s="293"/>
      <c r="AG20" s="297"/>
      <c r="AH20" s="297"/>
      <c r="AI20" s="297"/>
      <c r="AJ20" s="294"/>
      <c r="AK20" s="293"/>
      <c r="AL20" s="294"/>
      <c r="AM20" s="293"/>
      <c r="AN20" s="294"/>
      <c r="AO20" s="293"/>
      <c r="AP20" s="294"/>
      <c r="AQ20" s="293"/>
      <c r="AR20" s="294"/>
      <c r="AS20" s="293"/>
      <c r="AT20" s="294"/>
      <c r="AU20" s="293"/>
      <c r="AV20" s="294"/>
      <c r="AW20" s="293"/>
      <c r="AX20" s="294"/>
      <c r="AY20" s="293"/>
      <c r="AZ20" s="294"/>
      <c r="BA20" s="293"/>
      <c r="BB20" s="294"/>
      <c r="BC20" s="293"/>
      <c r="BD20" s="294"/>
      <c r="BE20" s="293"/>
      <c r="BF20" s="294"/>
      <c r="BG20" s="293"/>
      <c r="BH20" s="294"/>
      <c r="BI20" s="293"/>
      <c r="BJ20" s="294"/>
      <c r="BK20" s="293"/>
      <c r="BL20" s="294"/>
      <c r="BM20" s="293"/>
      <c r="BN20" s="294"/>
      <c r="BO20" s="293"/>
      <c r="BP20" s="294"/>
      <c r="BQ20" s="293"/>
      <c r="BR20" s="297"/>
      <c r="BS20" s="297"/>
      <c r="BT20" s="294"/>
      <c r="BU20" s="293"/>
      <c r="BV20" s="297"/>
      <c r="BW20" s="294"/>
      <c r="BX20" s="293"/>
      <c r="BY20" s="297"/>
      <c r="BZ20" s="297"/>
      <c r="CA20" s="297"/>
      <c r="CB20" s="297"/>
      <c r="CC20" s="297"/>
      <c r="CD20" s="297"/>
      <c r="CE20" s="297"/>
      <c r="CF20" s="297"/>
      <c r="CG20" s="297"/>
      <c r="CH20" s="297"/>
      <c r="CI20" s="297"/>
      <c r="CJ20" s="297"/>
      <c r="CK20" s="297"/>
      <c r="CL20" s="297"/>
      <c r="CM20" s="297"/>
      <c r="CN20" s="297"/>
      <c r="CO20" s="297"/>
      <c r="CP20" s="297"/>
      <c r="CQ20" s="297"/>
      <c r="CR20" s="294"/>
      <c r="CS20" s="293"/>
      <c r="CT20" s="297"/>
      <c r="CU20" s="297"/>
      <c r="CV20" s="300"/>
    </row>
    <row r="21" spans="1:100" s="134" customFormat="1" ht="13.5" customHeight="1" thickTop="1">
      <c r="A21" s="301"/>
      <c r="B21" s="302"/>
      <c r="C21" s="303"/>
      <c r="D21" s="310"/>
      <c r="E21" s="302"/>
      <c r="F21" s="303"/>
      <c r="G21" s="310"/>
      <c r="H21" s="302"/>
      <c r="I21" s="302"/>
      <c r="J21" s="302"/>
      <c r="K21" s="302"/>
      <c r="L21" s="302"/>
      <c r="M21" s="302"/>
      <c r="N21" s="302"/>
      <c r="O21" s="303"/>
      <c r="P21" s="289"/>
      <c r="Q21" s="290"/>
      <c r="R21" s="289"/>
      <c r="S21" s="295"/>
      <c r="T21" s="290"/>
      <c r="U21" s="289"/>
      <c r="V21" s="295"/>
      <c r="W21" s="290"/>
      <c r="X21" s="289"/>
      <c r="Y21" s="295"/>
      <c r="Z21" s="290"/>
      <c r="AA21" s="289"/>
      <c r="AB21" s="295"/>
      <c r="AC21" s="295"/>
      <c r="AD21" s="295"/>
      <c r="AE21" s="290"/>
      <c r="AF21" s="289"/>
      <c r="AG21" s="295"/>
      <c r="AH21" s="295"/>
      <c r="AI21" s="295"/>
      <c r="AJ21" s="290"/>
      <c r="AK21" s="289"/>
      <c r="AL21" s="290"/>
      <c r="AM21" s="289"/>
      <c r="AN21" s="290"/>
      <c r="AO21" s="289"/>
      <c r="AP21" s="290"/>
      <c r="AQ21" s="289"/>
      <c r="AR21" s="290"/>
      <c r="AS21" s="289"/>
      <c r="AT21" s="290"/>
      <c r="AU21" s="289"/>
      <c r="AV21" s="290"/>
      <c r="AW21" s="289"/>
      <c r="AX21" s="290"/>
      <c r="AY21" s="289"/>
      <c r="AZ21" s="290"/>
      <c r="BA21" s="289"/>
      <c r="BB21" s="290"/>
      <c r="BC21" s="289"/>
      <c r="BD21" s="290"/>
      <c r="BE21" s="289"/>
      <c r="BF21" s="290"/>
      <c r="BG21" s="289"/>
      <c r="BH21" s="290"/>
      <c r="BI21" s="289"/>
      <c r="BJ21" s="290"/>
      <c r="BK21" s="289"/>
      <c r="BL21" s="290"/>
      <c r="BM21" s="289"/>
      <c r="BN21" s="290"/>
      <c r="BO21" s="289"/>
      <c r="BP21" s="290"/>
      <c r="BQ21" s="289"/>
      <c r="BR21" s="295"/>
      <c r="BS21" s="295"/>
      <c r="BT21" s="290"/>
      <c r="BU21" s="289"/>
      <c r="BV21" s="295"/>
      <c r="BW21" s="290"/>
      <c r="BX21" s="289"/>
      <c r="BY21" s="295"/>
      <c r="BZ21" s="295"/>
      <c r="CA21" s="295"/>
      <c r="CB21" s="295"/>
      <c r="CC21" s="295"/>
      <c r="CD21" s="295"/>
      <c r="CE21" s="295"/>
      <c r="CF21" s="295"/>
      <c r="CG21" s="295"/>
      <c r="CH21" s="295"/>
      <c r="CI21" s="295"/>
      <c r="CJ21" s="295"/>
      <c r="CK21" s="295"/>
      <c r="CL21" s="295"/>
      <c r="CM21" s="295"/>
      <c r="CN21" s="295"/>
      <c r="CO21" s="295"/>
      <c r="CP21" s="295"/>
      <c r="CQ21" s="295"/>
      <c r="CR21" s="290"/>
      <c r="CS21" s="289"/>
      <c r="CT21" s="295"/>
      <c r="CU21" s="295"/>
      <c r="CV21" s="298"/>
    </row>
    <row r="22" spans="1:100" s="134" customFormat="1" ht="13.5" customHeight="1">
      <c r="A22" s="304"/>
      <c r="B22" s="305"/>
      <c r="C22" s="306"/>
      <c r="D22" s="311"/>
      <c r="E22" s="305"/>
      <c r="F22" s="306"/>
      <c r="G22" s="311"/>
      <c r="H22" s="305"/>
      <c r="I22" s="305"/>
      <c r="J22" s="305"/>
      <c r="K22" s="305"/>
      <c r="L22" s="305"/>
      <c r="M22" s="305"/>
      <c r="N22" s="305"/>
      <c r="O22" s="306"/>
      <c r="P22" s="291"/>
      <c r="Q22" s="292"/>
      <c r="R22" s="291"/>
      <c r="S22" s="296"/>
      <c r="T22" s="292"/>
      <c r="U22" s="291"/>
      <c r="V22" s="296"/>
      <c r="W22" s="292"/>
      <c r="X22" s="291"/>
      <c r="Y22" s="296"/>
      <c r="Z22" s="292"/>
      <c r="AA22" s="291"/>
      <c r="AB22" s="296"/>
      <c r="AC22" s="296"/>
      <c r="AD22" s="296"/>
      <c r="AE22" s="292"/>
      <c r="AF22" s="291"/>
      <c r="AG22" s="296"/>
      <c r="AH22" s="296"/>
      <c r="AI22" s="296"/>
      <c r="AJ22" s="292"/>
      <c r="AK22" s="291"/>
      <c r="AL22" s="292"/>
      <c r="AM22" s="291"/>
      <c r="AN22" s="292"/>
      <c r="AO22" s="291"/>
      <c r="AP22" s="292"/>
      <c r="AQ22" s="291"/>
      <c r="AR22" s="292"/>
      <c r="AS22" s="291"/>
      <c r="AT22" s="292"/>
      <c r="AU22" s="291"/>
      <c r="AV22" s="292"/>
      <c r="AW22" s="291"/>
      <c r="AX22" s="292"/>
      <c r="AY22" s="291"/>
      <c r="AZ22" s="292"/>
      <c r="BA22" s="291"/>
      <c r="BB22" s="292"/>
      <c r="BC22" s="291"/>
      <c r="BD22" s="292"/>
      <c r="BE22" s="291"/>
      <c r="BF22" s="292"/>
      <c r="BG22" s="291"/>
      <c r="BH22" s="292"/>
      <c r="BI22" s="291"/>
      <c r="BJ22" s="292"/>
      <c r="BK22" s="291"/>
      <c r="BL22" s="292"/>
      <c r="BM22" s="291"/>
      <c r="BN22" s="292"/>
      <c r="BO22" s="291"/>
      <c r="BP22" s="292"/>
      <c r="BQ22" s="291"/>
      <c r="BR22" s="296"/>
      <c r="BS22" s="296"/>
      <c r="BT22" s="292"/>
      <c r="BU22" s="291"/>
      <c r="BV22" s="296"/>
      <c r="BW22" s="292"/>
      <c r="BX22" s="291"/>
      <c r="BY22" s="296"/>
      <c r="BZ22" s="296"/>
      <c r="CA22" s="296"/>
      <c r="CB22" s="296"/>
      <c r="CC22" s="296"/>
      <c r="CD22" s="296"/>
      <c r="CE22" s="296"/>
      <c r="CF22" s="296"/>
      <c r="CG22" s="296"/>
      <c r="CH22" s="296"/>
      <c r="CI22" s="296"/>
      <c r="CJ22" s="296"/>
      <c r="CK22" s="296"/>
      <c r="CL22" s="296"/>
      <c r="CM22" s="296"/>
      <c r="CN22" s="296"/>
      <c r="CO22" s="296"/>
      <c r="CP22" s="296"/>
      <c r="CQ22" s="296"/>
      <c r="CR22" s="292"/>
      <c r="CS22" s="291"/>
      <c r="CT22" s="296"/>
      <c r="CU22" s="296"/>
      <c r="CV22" s="299"/>
    </row>
    <row r="23" spans="1:100" s="134" customFormat="1" ht="13.5" customHeight="1">
      <c r="A23" s="304"/>
      <c r="B23" s="305"/>
      <c r="C23" s="306"/>
      <c r="D23" s="311"/>
      <c r="E23" s="305"/>
      <c r="F23" s="306"/>
      <c r="G23" s="311"/>
      <c r="H23" s="305"/>
      <c r="I23" s="305"/>
      <c r="J23" s="305"/>
      <c r="K23" s="305"/>
      <c r="L23" s="305"/>
      <c r="M23" s="305"/>
      <c r="N23" s="305"/>
      <c r="O23" s="306"/>
      <c r="P23" s="291"/>
      <c r="Q23" s="292"/>
      <c r="R23" s="291"/>
      <c r="S23" s="296"/>
      <c r="T23" s="292"/>
      <c r="U23" s="291"/>
      <c r="V23" s="296"/>
      <c r="W23" s="292"/>
      <c r="X23" s="291"/>
      <c r="Y23" s="296"/>
      <c r="Z23" s="292"/>
      <c r="AA23" s="291"/>
      <c r="AB23" s="296"/>
      <c r="AC23" s="296"/>
      <c r="AD23" s="296"/>
      <c r="AE23" s="292"/>
      <c r="AF23" s="291"/>
      <c r="AG23" s="296"/>
      <c r="AH23" s="296"/>
      <c r="AI23" s="296"/>
      <c r="AJ23" s="292"/>
      <c r="AK23" s="291"/>
      <c r="AL23" s="292"/>
      <c r="AM23" s="291"/>
      <c r="AN23" s="292"/>
      <c r="AO23" s="291"/>
      <c r="AP23" s="292"/>
      <c r="AQ23" s="291"/>
      <c r="AR23" s="292"/>
      <c r="AS23" s="291"/>
      <c r="AT23" s="292"/>
      <c r="AU23" s="291"/>
      <c r="AV23" s="292"/>
      <c r="AW23" s="291"/>
      <c r="AX23" s="292"/>
      <c r="AY23" s="291"/>
      <c r="AZ23" s="292"/>
      <c r="BA23" s="291"/>
      <c r="BB23" s="292"/>
      <c r="BC23" s="291"/>
      <c r="BD23" s="292"/>
      <c r="BE23" s="291"/>
      <c r="BF23" s="292"/>
      <c r="BG23" s="291"/>
      <c r="BH23" s="292"/>
      <c r="BI23" s="291"/>
      <c r="BJ23" s="292"/>
      <c r="BK23" s="291"/>
      <c r="BL23" s="292"/>
      <c r="BM23" s="291"/>
      <c r="BN23" s="292"/>
      <c r="BO23" s="291"/>
      <c r="BP23" s="292"/>
      <c r="BQ23" s="291"/>
      <c r="BR23" s="296"/>
      <c r="BS23" s="296"/>
      <c r="BT23" s="292"/>
      <c r="BU23" s="291"/>
      <c r="BV23" s="296"/>
      <c r="BW23" s="292"/>
      <c r="BX23" s="291"/>
      <c r="BY23" s="296"/>
      <c r="BZ23" s="296"/>
      <c r="CA23" s="296"/>
      <c r="CB23" s="296"/>
      <c r="CC23" s="296"/>
      <c r="CD23" s="296"/>
      <c r="CE23" s="296"/>
      <c r="CF23" s="296"/>
      <c r="CG23" s="296"/>
      <c r="CH23" s="296"/>
      <c r="CI23" s="296"/>
      <c r="CJ23" s="296"/>
      <c r="CK23" s="296"/>
      <c r="CL23" s="296"/>
      <c r="CM23" s="296"/>
      <c r="CN23" s="296"/>
      <c r="CO23" s="296"/>
      <c r="CP23" s="296"/>
      <c r="CQ23" s="296"/>
      <c r="CR23" s="292"/>
      <c r="CS23" s="291"/>
      <c r="CT23" s="296"/>
      <c r="CU23" s="296"/>
      <c r="CV23" s="299"/>
    </row>
    <row r="24" spans="1:100" s="134" customFormat="1" ht="13.5" customHeight="1" thickBot="1">
      <c r="A24" s="307"/>
      <c r="B24" s="308"/>
      <c r="C24" s="309"/>
      <c r="D24" s="312"/>
      <c r="E24" s="308"/>
      <c r="F24" s="309"/>
      <c r="G24" s="312"/>
      <c r="H24" s="308"/>
      <c r="I24" s="308"/>
      <c r="J24" s="308"/>
      <c r="K24" s="308"/>
      <c r="L24" s="308"/>
      <c r="M24" s="308"/>
      <c r="N24" s="308"/>
      <c r="O24" s="309"/>
      <c r="P24" s="293"/>
      <c r="Q24" s="294"/>
      <c r="R24" s="293"/>
      <c r="S24" s="297"/>
      <c r="T24" s="294"/>
      <c r="U24" s="293"/>
      <c r="V24" s="297"/>
      <c r="W24" s="294"/>
      <c r="X24" s="293"/>
      <c r="Y24" s="297"/>
      <c r="Z24" s="294"/>
      <c r="AA24" s="293"/>
      <c r="AB24" s="297"/>
      <c r="AC24" s="297"/>
      <c r="AD24" s="297"/>
      <c r="AE24" s="294"/>
      <c r="AF24" s="293"/>
      <c r="AG24" s="297"/>
      <c r="AH24" s="297"/>
      <c r="AI24" s="297"/>
      <c r="AJ24" s="294"/>
      <c r="AK24" s="293"/>
      <c r="AL24" s="294"/>
      <c r="AM24" s="293"/>
      <c r="AN24" s="294"/>
      <c r="AO24" s="293"/>
      <c r="AP24" s="294"/>
      <c r="AQ24" s="293"/>
      <c r="AR24" s="294"/>
      <c r="AS24" s="293"/>
      <c r="AT24" s="294"/>
      <c r="AU24" s="293"/>
      <c r="AV24" s="294"/>
      <c r="AW24" s="293"/>
      <c r="AX24" s="294"/>
      <c r="AY24" s="293"/>
      <c r="AZ24" s="294"/>
      <c r="BA24" s="293"/>
      <c r="BB24" s="294"/>
      <c r="BC24" s="293"/>
      <c r="BD24" s="294"/>
      <c r="BE24" s="293"/>
      <c r="BF24" s="294"/>
      <c r="BG24" s="293"/>
      <c r="BH24" s="294"/>
      <c r="BI24" s="293"/>
      <c r="BJ24" s="294"/>
      <c r="BK24" s="293"/>
      <c r="BL24" s="294"/>
      <c r="BM24" s="293"/>
      <c r="BN24" s="294"/>
      <c r="BO24" s="293"/>
      <c r="BP24" s="294"/>
      <c r="BQ24" s="293"/>
      <c r="BR24" s="297"/>
      <c r="BS24" s="297"/>
      <c r="BT24" s="294"/>
      <c r="BU24" s="293"/>
      <c r="BV24" s="297"/>
      <c r="BW24" s="294"/>
      <c r="BX24" s="293"/>
      <c r="BY24" s="297"/>
      <c r="BZ24" s="297"/>
      <c r="CA24" s="297"/>
      <c r="CB24" s="297"/>
      <c r="CC24" s="297"/>
      <c r="CD24" s="297"/>
      <c r="CE24" s="297"/>
      <c r="CF24" s="297"/>
      <c r="CG24" s="297"/>
      <c r="CH24" s="297"/>
      <c r="CI24" s="297"/>
      <c r="CJ24" s="297"/>
      <c r="CK24" s="297"/>
      <c r="CL24" s="297"/>
      <c r="CM24" s="297"/>
      <c r="CN24" s="297"/>
      <c r="CO24" s="297"/>
      <c r="CP24" s="297"/>
      <c r="CQ24" s="297"/>
      <c r="CR24" s="294"/>
      <c r="CS24" s="293"/>
      <c r="CT24" s="297"/>
      <c r="CU24" s="297"/>
      <c r="CV24" s="300"/>
    </row>
    <row r="25" spans="1:100" s="134" customFormat="1" ht="13.5" customHeight="1" thickTop="1">
      <c r="A25" s="301"/>
      <c r="B25" s="302"/>
      <c r="C25" s="303"/>
      <c r="D25" s="310"/>
      <c r="E25" s="302"/>
      <c r="F25" s="303"/>
      <c r="G25" s="310"/>
      <c r="H25" s="302"/>
      <c r="I25" s="302"/>
      <c r="J25" s="302"/>
      <c r="K25" s="302"/>
      <c r="L25" s="302"/>
      <c r="M25" s="302"/>
      <c r="N25" s="302"/>
      <c r="O25" s="303"/>
      <c r="P25" s="289"/>
      <c r="Q25" s="290"/>
      <c r="R25" s="289"/>
      <c r="S25" s="295"/>
      <c r="T25" s="290"/>
      <c r="U25" s="289"/>
      <c r="V25" s="295"/>
      <c r="W25" s="290"/>
      <c r="X25" s="289"/>
      <c r="Y25" s="295"/>
      <c r="Z25" s="290"/>
      <c r="AA25" s="289"/>
      <c r="AB25" s="295"/>
      <c r="AC25" s="295"/>
      <c r="AD25" s="295"/>
      <c r="AE25" s="290"/>
      <c r="AF25" s="289"/>
      <c r="AG25" s="295"/>
      <c r="AH25" s="295"/>
      <c r="AI25" s="295"/>
      <c r="AJ25" s="290"/>
      <c r="AK25" s="289"/>
      <c r="AL25" s="290"/>
      <c r="AM25" s="289"/>
      <c r="AN25" s="290"/>
      <c r="AO25" s="289"/>
      <c r="AP25" s="290"/>
      <c r="AQ25" s="289"/>
      <c r="AR25" s="290"/>
      <c r="AS25" s="289"/>
      <c r="AT25" s="290"/>
      <c r="AU25" s="289"/>
      <c r="AV25" s="290"/>
      <c r="AW25" s="289"/>
      <c r="AX25" s="290"/>
      <c r="AY25" s="289"/>
      <c r="AZ25" s="290"/>
      <c r="BA25" s="289"/>
      <c r="BB25" s="290"/>
      <c r="BC25" s="289"/>
      <c r="BD25" s="290"/>
      <c r="BE25" s="289"/>
      <c r="BF25" s="290"/>
      <c r="BG25" s="289"/>
      <c r="BH25" s="290"/>
      <c r="BI25" s="289"/>
      <c r="BJ25" s="290"/>
      <c r="BK25" s="289"/>
      <c r="BL25" s="290"/>
      <c r="BM25" s="289"/>
      <c r="BN25" s="290"/>
      <c r="BO25" s="289"/>
      <c r="BP25" s="290"/>
      <c r="BQ25" s="289"/>
      <c r="BR25" s="295"/>
      <c r="BS25" s="295"/>
      <c r="BT25" s="290"/>
      <c r="BU25" s="289"/>
      <c r="BV25" s="295"/>
      <c r="BW25" s="290"/>
      <c r="BX25" s="289"/>
      <c r="BY25" s="295"/>
      <c r="BZ25" s="295"/>
      <c r="CA25" s="295"/>
      <c r="CB25" s="295"/>
      <c r="CC25" s="295"/>
      <c r="CD25" s="295"/>
      <c r="CE25" s="295"/>
      <c r="CF25" s="295"/>
      <c r="CG25" s="295"/>
      <c r="CH25" s="295"/>
      <c r="CI25" s="295"/>
      <c r="CJ25" s="295"/>
      <c r="CK25" s="295"/>
      <c r="CL25" s="295"/>
      <c r="CM25" s="295"/>
      <c r="CN25" s="295"/>
      <c r="CO25" s="295"/>
      <c r="CP25" s="295"/>
      <c r="CQ25" s="295"/>
      <c r="CR25" s="290"/>
      <c r="CS25" s="289"/>
      <c r="CT25" s="295"/>
      <c r="CU25" s="295"/>
      <c r="CV25" s="298"/>
    </row>
    <row r="26" spans="1:100" s="134" customFormat="1" ht="13.5" customHeight="1">
      <c r="A26" s="304"/>
      <c r="B26" s="305"/>
      <c r="C26" s="306"/>
      <c r="D26" s="311"/>
      <c r="E26" s="305"/>
      <c r="F26" s="306"/>
      <c r="G26" s="311"/>
      <c r="H26" s="305"/>
      <c r="I26" s="305"/>
      <c r="J26" s="305"/>
      <c r="K26" s="305"/>
      <c r="L26" s="305"/>
      <c r="M26" s="305"/>
      <c r="N26" s="305"/>
      <c r="O26" s="306"/>
      <c r="P26" s="291"/>
      <c r="Q26" s="292"/>
      <c r="R26" s="291"/>
      <c r="S26" s="296"/>
      <c r="T26" s="292"/>
      <c r="U26" s="291"/>
      <c r="V26" s="296"/>
      <c r="W26" s="292"/>
      <c r="X26" s="291"/>
      <c r="Y26" s="296"/>
      <c r="Z26" s="292"/>
      <c r="AA26" s="291"/>
      <c r="AB26" s="296"/>
      <c r="AC26" s="296"/>
      <c r="AD26" s="296"/>
      <c r="AE26" s="292"/>
      <c r="AF26" s="291"/>
      <c r="AG26" s="296"/>
      <c r="AH26" s="296"/>
      <c r="AI26" s="296"/>
      <c r="AJ26" s="292"/>
      <c r="AK26" s="291"/>
      <c r="AL26" s="292"/>
      <c r="AM26" s="291"/>
      <c r="AN26" s="292"/>
      <c r="AO26" s="291"/>
      <c r="AP26" s="292"/>
      <c r="AQ26" s="291"/>
      <c r="AR26" s="292"/>
      <c r="AS26" s="291"/>
      <c r="AT26" s="292"/>
      <c r="AU26" s="291"/>
      <c r="AV26" s="292"/>
      <c r="AW26" s="291"/>
      <c r="AX26" s="292"/>
      <c r="AY26" s="291"/>
      <c r="AZ26" s="292"/>
      <c r="BA26" s="291"/>
      <c r="BB26" s="292"/>
      <c r="BC26" s="291"/>
      <c r="BD26" s="292"/>
      <c r="BE26" s="291"/>
      <c r="BF26" s="292"/>
      <c r="BG26" s="291"/>
      <c r="BH26" s="292"/>
      <c r="BI26" s="291"/>
      <c r="BJ26" s="292"/>
      <c r="BK26" s="291"/>
      <c r="BL26" s="292"/>
      <c r="BM26" s="291"/>
      <c r="BN26" s="292"/>
      <c r="BO26" s="291"/>
      <c r="BP26" s="292"/>
      <c r="BQ26" s="291"/>
      <c r="BR26" s="296"/>
      <c r="BS26" s="296"/>
      <c r="BT26" s="292"/>
      <c r="BU26" s="291"/>
      <c r="BV26" s="296"/>
      <c r="BW26" s="292"/>
      <c r="BX26" s="291"/>
      <c r="BY26" s="296"/>
      <c r="BZ26" s="296"/>
      <c r="CA26" s="296"/>
      <c r="CB26" s="296"/>
      <c r="CC26" s="296"/>
      <c r="CD26" s="296"/>
      <c r="CE26" s="296"/>
      <c r="CF26" s="296"/>
      <c r="CG26" s="296"/>
      <c r="CH26" s="296"/>
      <c r="CI26" s="296"/>
      <c r="CJ26" s="296"/>
      <c r="CK26" s="296"/>
      <c r="CL26" s="296"/>
      <c r="CM26" s="296"/>
      <c r="CN26" s="296"/>
      <c r="CO26" s="296"/>
      <c r="CP26" s="296"/>
      <c r="CQ26" s="296"/>
      <c r="CR26" s="292"/>
      <c r="CS26" s="291"/>
      <c r="CT26" s="296"/>
      <c r="CU26" s="296"/>
      <c r="CV26" s="299"/>
    </row>
    <row r="27" spans="1:100" s="134" customFormat="1" ht="13.5" customHeight="1">
      <c r="A27" s="304"/>
      <c r="B27" s="305"/>
      <c r="C27" s="306"/>
      <c r="D27" s="311"/>
      <c r="E27" s="305"/>
      <c r="F27" s="306"/>
      <c r="G27" s="311"/>
      <c r="H27" s="305"/>
      <c r="I27" s="305"/>
      <c r="J27" s="305"/>
      <c r="K27" s="305"/>
      <c r="L27" s="305"/>
      <c r="M27" s="305"/>
      <c r="N27" s="305"/>
      <c r="O27" s="306"/>
      <c r="P27" s="291"/>
      <c r="Q27" s="292"/>
      <c r="R27" s="291"/>
      <c r="S27" s="296"/>
      <c r="T27" s="292"/>
      <c r="U27" s="291"/>
      <c r="V27" s="296"/>
      <c r="W27" s="292"/>
      <c r="X27" s="291"/>
      <c r="Y27" s="296"/>
      <c r="Z27" s="292"/>
      <c r="AA27" s="291"/>
      <c r="AB27" s="296"/>
      <c r="AC27" s="296"/>
      <c r="AD27" s="296"/>
      <c r="AE27" s="292"/>
      <c r="AF27" s="291"/>
      <c r="AG27" s="296"/>
      <c r="AH27" s="296"/>
      <c r="AI27" s="296"/>
      <c r="AJ27" s="292"/>
      <c r="AK27" s="291"/>
      <c r="AL27" s="292"/>
      <c r="AM27" s="291"/>
      <c r="AN27" s="292"/>
      <c r="AO27" s="291"/>
      <c r="AP27" s="292"/>
      <c r="AQ27" s="291"/>
      <c r="AR27" s="292"/>
      <c r="AS27" s="291"/>
      <c r="AT27" s="292"/>
      <c r="AU27" s="291"/>
      <c r="AV27" s="292"/>
      <c r="AW27" s="291"/>
      <c r="AX27" s="292"/>
      <c r="AY27" s="291"/>
      <c r="AZ27" s="292"/>
      <c r="BA27" s="291"/>
      <c r="BB27" s="292"/>
      <c r="BC27" s="291"/>
      <c r="BD27" s="292"/>
      <c r="BE27" s="291"/>
      <c r="BF27" s="292"/>
      <c r="BG27" s="291"/>
      <c r="BH27" s="292"/>
      <c r="BI27" s="291"/>
      <c r="BJ27" s="292"/>
      <c r="BK27" s="291"/>
      <c r="BL27" s="292"/>
      <c r="BM27" s="291"/>
      <c r="BN27" s="292"/>
      <c r="BO27" s="291"/>
      <c r="BP27" s="292"/>
      <c r="BQ27" s="291"/>
      <c r="BR27" s="296"/>
      <c r="BS27" s="296"/>
      <c r="BT27" s="292"/>
      <c r="BU27" s="291"/>
      <c r="BV27" s="296"/>
      <c r="BW27" s="292"/>
      <c r="BX27" s="291"/>
      <c r="BY27" s="296"/>
      <c r="BZ27" s="296"/>
      <c r="CA27" s="296"/>
      <c r="CB27" s="296"/>
      <c r="CC27" s="296"/>
      <c r="CD27" s="296"/>
      <c r="CE27" s="296"/>
      <c r="CF27" s="296"/>
      <c r="CG27" s="296"/>
      <c r="CH27" s="296"/>
      <c r="CI27" s="296"/>
      <c r="CJ27" s="296"/>
      <c r="CK27" s="296"/>
      <c r="CL27" s="296"/>
      <c r="CM27" s="296"/>
      <c r="CN27" s="296"/>
      <c r="CO27" s="296"/>
      <c r="CP27" s="296"/>
      <c r="CQ27" s="296"/>
      <c r="CR27" s="292"/>
      <c r="CS27" s="291"/>
      <c r="CT27" s="296"/>
      <c r="CU27" s="296"/>
      <c r="CV27" s="299"/>
    </row>
    <row r="28" spans="1:100" s="134" customFormat="1" ht="13.5" customHeight="1" thickBot="1">
      <c r="A28" s="307"/>
      <c r="B28" s="308"/>
      <c r="C28" s="309"/>
      <c r="D28" s="312"/>
      <c r="E28" s="308"/>
      <c r="F28" s="309"/>
      <c r="G28" s="312"/>
      <c r="H28" s="308"/>
      <c r="I28" s="308"/>
      <c r="J28" s="308"/>
      <c r="K28" s="308"/>
      <c r="L28" s="308"/>
      <c r="M28" s="308"/>
      <c r="N28" s="308"/>
      <c r="O28" s="309"/>
      <c r="P28" s="293"/>
      <c r="Q28" s="294"/>
      <c r="R28" s="293"/>
      <c r="S28" s="297"/>
      <c r="T28" s="294"/>
      <c r="U28" s="293"/>
      <c r="V28" s="297"/>
      <c r="W28" s="294"/>
      <c r="X28" s="293"/>
      <c r="Y28" s="297"/>
      <c r="Z28" s="294"/>
      <c r="AA28" s="293"/>
      <c r="AB28" s="297"/>
      <c r="AC28" s="297"/>
      <c r="AD28" s="297"/>
      <c r="AE28" s="294"/>
      <c r="AF28" s="293"/>
      <c r="AG28" s="297"/>
      <c r="AH28" s="297"/>
      <c r="AI28" s="297"/>
      <c r="AJ28" s="294"/>
      <c r="AK28" s="293"/>
      <c r="AL28" s="294"/>
      <c r="AM28" s="293"/>
      <c r="AN28" s="294"/>
      <c r="AO28" s="293"/>
      <c r="AP28" s="294"/>
      <c r="AQ28" s="293"/>
      <c r="AR28" s="294"/>
      <c r="AS28" s="293"/>
      <c r="AT28" s="294"/>
      <c r="AU28" s="293"/>
      <c r="AV28" s="294"/>
      <c r="AW28" s="293"/>
      <c r="AX28" s="294"/>
      <c r="AY28" s="293"/>
      <c r="AZ28" s="294"/>
      <c r="BA28" s="293"/>
      <c r="BB28" s="294"/>
      <c r="BC28" s="293"/>
      <c r="BD28" s="294"/>
      <c r="BE28" s="293"/>
      <c r="BF28" s="294"/>
      <c r="BG28" s="293"/>
      <c r="BH28" s="294"/>
      <c r="BI28" s="293"/>
      <c r="BJ28" s="294"/>
      <c r="BK28" s="293"/>
      <c r="BL28" s="294"/>
      <c r="BM28" s="293"/>
      <c r="BN28" s="294"/>
      <c r="BO28" s="293"/>
      <c r="BP28" s="294"/>
      <c r="BQ28" s="293"/>
      <c r="BR28" s="297"/>
      <c r="BS28" s="297"/>
      <c r="BT28" s="294"/>
      <c r="BU28" s="293"/>
      <c r="BV28" s="297"/>
      <c r="BW28" s="294"/>
      <c r="BX28" s="293"/>
      <c r="BY28" s="297"/>
      <c r="BZ28" s="297"/>
      <c r="CA28" s="297"/>
      <c r="CB28" s="297"/>
      <c r="CC28" s="297"/>
      <c r="CD28" s="297"/>
      <c r="CE28" s="297"/>
      <c r="CF28" s="297"/>
      <c r="CG28" s="297"/>
      <c r="CH28" s="297"/>
      <c r="CI28" s="297"/>
      <c r="CJ28" s="297"/>
      <c r="CK28" s="297"/>
      <c r="CL28" s="297"/>
      <c r="CM28" s="297"/>
      <c r="CN28" s="297"/>
      <c r="CO28" s="297"/>
      <c r="CP28" s="297"/>
      <c r="CQ28" s="297"/>
      <c r="CR28" s="294"/>
      <c r="CS28" s="293"/>
      <c r="CT28" s="297"/>
      <c r="CU28" s="297"/>
      <c r="CV28" s="300"/>
    </row>
    <row r="29" spans="1:100" s="134" customFormat="1" ht="13.5" customHeight="1" thickTop="1">
      <c r="A29" s="301"/>
      <c r="B29" s="302"/>
      <c r="C29" s="303"/>
      <c r="D29" s="310"/>
      <c r="E29" s="302"/>
      <c r="F29" s="303"/>
      <c r="G29" s="310"/>
      <c r="H29" s="302"/>
      <c r="I29" s="302"/>
      <c r="J29" s="302"/>
      <c r="K29" s="302"/>
      <c r="L29" s="302"/>
      <c r="M29" s="302"/>
      <c r="N29" s="302"/>
      <c r="O29" s="303"/>
      <c r="P29" s="289"/>
      <c r="Q29" s="290"/>
      <c r="R29" s="289"/>
      <c r="S29" s="295"/>
      <c r="T29" s="290"/>
      <c r="U29" s="289"/>
      <c r="V29" s="295"/>
      <c r="W29" s="290"/>
      <c r="X29" s="289"/>
      <c r="Y29" s="295"/>
      <c r="Z29" s="290"/>
      <c r="AA29" s="289"/>
      <c r="AB29" s="295"/>
      <c r="AC29" s="295"/>
      <c r="AD29" s="295"/>
      <c r="AE29" s="290"/>
      <c r="AF29" s="289"/>
      <c r="AG29" s="295"/>
      <c r="AH29" s="295"/>
      <c r="AI29" s="295"/>
      <c r="AJ29" s="290"/>
      <c r="AK29" s="289"/>
      <c r="AL29" s="290"/>
      <c r="AM29" s="289"/>
      <c r="AN29" s="290"/>
      <c r="AO29" s="289"/>
      <c r="AP29" s="290"/>
      <c r="AQ29" s="289"/>
      <c r="AR29" s="290"/>
      <c r="AS29" s="289"/>
      <c r="AT29" s="290"/>
      <c r="AU29" s="289"/>
      <c r="AV29" s="290"/>
      <c r="AW29" s="289"/>
      <c r="AX29" s="290"/>
      <c r="AY29" s="289"/>
      <c r="AZ29" s="290"/>
      <c r="BA29" s="289"/>
      <c r="BB29" s="290"/>
      <c r="BC29" s="289"/>
      <c r="BD29" s="290"/>
      <c r="BE29" s="289"/>
      <c r="BF29" s="290"/>
      <c r="BG29" s="289"/>
      <c r="BH29" s="290"/>
      <c r="BI29" s="289"/>
      <c r="BJ29" s="290"/>
      <c r="BK29" s="289"/>
      <c r="BL29" s="290"/>
      <c r="BM29" s="289"/>
      <c r="BN29" s="290"/>
      <c r="BO29" s="289"/>
      <c r="BP29" s="290"/>
      <c r="BQ29" s="289"/>
      <c r="BR29" s="295"/>
      <c r="BS29" s="295"/>
      <c r="BT29" s="290"/>
      <c r="BU29" s="289"/>
      <c r="BV29" s="295"/>
      <c r="BW29" s="290"/>
      <c r="BX29" s="289"/>
      <c r="BY29" s="295"/>
      <c r="BZ29" s="295"/>
      <c r="CA29" s="295"/>
      <c r="CB29" s="295"/>
      <c r="CC29" s="295"/>
      <c r="CD29" s="295"/>
      <c r="CE29" s="295"/>
      <c r="CF29" s="295"/>
      <c r="CG29" s="295"/>
      <c r="CH29" s="295"/>
      <c r="CI29" s="295"/>
      <c r="CJ29" s="295"/>
      <c r="CK29" s="295"/>
      <c r="CL29" s="295"/>
      <c r="CM29" s="295"/>
      <c r="CN29" s="295"/>
      <c r="CO29" s="295"/>
      <c r="CP29" s="295"/>
      <c r="CQ29" s="295"/>
      <c r="CR29" s="290"/>
      <c r="CS29" s="289"/>
      <c r="CT29" s="295"/>
      <c r="CU29" s="295"/>
      <c r="CV29" s="298"/>
    </row>
    <row r="30" spans="1:100" s="134" customFormat="1" ht="13.5" customHeight="1">
      <c r="A30" s="304"/>
      <c r="B30" s="305"/>
      <c r="C30" s="306"/>
      <c r="D30" s="311"/>
      <c r="E30" s="305"/>
      <c r="F30" s="306"/>
      <c r="G30" s="311"/>
      <c r="H30" s="305"/>
      <c r="I30" s="305"/>
      <c r="J30" s="305"/>
      <c r="K30" s="305"/>
      <c r="L30" s="305"/>
      <c r="M30" s="305"/>
      <c r="N30" s="305"/>
      <c r="O30" s="306"/>
      <c r="P30" s="291"/>
      <c r="Q30" s="292"/>
      <c r="R30" s="291"/>
      <c r="S30" s="296"/>
      <c r="T30" s="292"/>
      <c r="U30" s="291"/>
      <c r="V30" s="296"/>
      <c r="W30" s="292"/>
      <c r="X30" s="291"/>
      <c r="Y30" s="296"/>
      <c r="Z30" s="292"/>
      <c r="AA30" s="291"/>
      <c r="AB30" s="296"/>
      <c r="AC30" s="296"/>
      <c r="AD30" s="296"/>
      <c r="AE30" s="292"/>
      <c r="AF30" s="291"/>
      <c r="AG30" s="296"/>
      <c r="AH30" s="296"/>
      <c r="AI30" s="296"/>
      <c r="AJ30" s="292"/>
      <c r="AK30" s="291"/>
      <c r="AL30" s="292"/>
      <c r="AM30" s="291"/>
      <c r="AN30" s="292"/>
      <c r="AO30" s="291"/>
      <c r="AP30" s="292"/>
      <c r="AQ30" s="291"/>
      <c r="AR30" s="292"/>
      <c r="AS30" s="291"/>
      <c r="AT30" s="292"/>
      <c r="AU30" s="291"/>
      <c r="AV30" s="292"/>
      <c r="AW30" s="291"/>
      <c r="AX30" s="292"/>
      <c r="AY30" s="291"/>
      <c r="AZ30" s="292"/>
      <c r="BA30" s="291"/>
      <c r="BB30" s="292"/>
      <c r="BC30" s="291"/>
      <c r="BD30" s="292"/>
      <c r="BE30" s="291"/>
      <c r="BF30" s="292"/>
      <c r="BG30" s="291"/>
      <c r="BH30" s="292"/>
      <c r="BI30" s="291"/>
      <c r="BJ30" s="292"/>
      <c r="BK30" s="291"/>
      <c r="BL30" s="292"/>
      <c r="BM30" s="291"/>
      <c r="BN30" s="292"/>
      <c r="BO30" s="291"/>
      <c r="BP30" s="292"/>
      <c r="BQ30" s="291"/>
      <c r="BR30" s="296"/>
      <c r="BS30" s="296"/>
      <c r="BT30" s="292"/>
      <c r="BU30" s="291"/>
      <c r="BV30" s="296"/>
      <c r="BW30" s="292"/>
      <c r="BX30" s="291"/>
      <c r="BY30" s="296"/>
      <c r="BZ30" s="296"/>
      <c r="CA30" s="296"/>
      <c r="CB30" s="296"/>
      <c r="CC30" s="296"/>
      <c r="CD30" s="296"/>
      <c r="CE30" s="296"/>
      <c r="CF30" s="296"/>
      <c r="CG30" s="296"/>
      <c r="CH30" s="296"/>
      <c r="CI30" s="296"/>
      <c r="CJ30" s="296"/>
      <c r="CK30" s="296"/>
      <c r="CL30" s="296"/>
      <c r="CM30" s="296"/>
      <c r="CN30" s="296"/>
      <c r="CO30" s="296"/>
      <c r="CP30" s="296"/>
      <c r="CQ30" s="296"/>
      <c r="CR30" s="292"/>
      <c r="CS30" s="291"/>
      <c r="CT30" s="296"/>
      <c r="CU30" s="296"/>
      <c r="CV30" s="299"/>
    </row>
    <row r="31" spans="1:100" s="134" customFormat="1" ht="13.5" customHeight="1">
      <c r="A31" s="304"/>
      <c r="B31" s="305"/>
      <c r="C31" s="306"/>
      <c r="D31" s="311"/>
      <c r="E31" s="305"/>
      <c r="F31" s="306"/>
      <c r="G31" s="311"/>
      <c r="H31" s="305"/>
      <c r="I31" s="305"/>
      <c r="J31" s="305"/>
      <c r="K31" s="305"/>
      <c r="L31" s="305"/>
      <c r="M31" s="305"/>
      <c r="N31" s="305"/>
      <c r="O31" s="306"/>
      <c r="P31" s="291"/>
      <c r="Q31" s="292"/>
      <c r="R31" s="291"/>
      <c r="S31" s="296"/>
      <c r="T31" s="292"/>
      <c r="U31" s="291"/>
      <c r="V31" s="296"/>
      <c r="W31" s="292"/>
      <c r="X31" s="291"/>
      <c r="Y31" s="296"/>
      <c r="Z31" s="292"/>
      <c r="AA31" s="291"/>
      <c r="AB31" s="296"/>
      <c r="AC31" s="296"/>
      <c r="AD31" s="296"/>
      <c r="AE31" s="292"/>
      <c r="AF31" s="291"/>
      <c r="AG31" s="296"/>
      <c r="AH31" s="296"/>
      <c r="AI31" s="296"/>
      <c r="AJ31" s="292"/>
      <c r="AK31" s="291"/>
      <c r="AL31" s="292"/>
      <c r="AM31" s="291"/>
      <c r="AN31" s="292"/>
      <c r="AO31" s="291"/>
      <c r="AP31" s="292"/>
      <c r="AQ31" s="291"/>
      <c r="AR31" s="292"/>
      <c r="AS31" s="291"/>
      <c r="AT31" s="292"/>
      <c r="AU31" s="291"/>
      <c r="AV31" s="292"/>
      <c r="AW31" s="291"/>
      <c r="AX31" s="292"/>
      <c r="AY31" s="291"/>
      <c r="AZ31" s="292"/>
      <c r="BA31" s="291"/>
      <c r="BB31" s="292"/>
      <c r="BC31" s="291"/>
      <c r="BD31" s="292"/>
      <c r="BE31" s="291"/>
      <c r="BF31" s="292"/>
      <c r="BG31" s="291"/>
      <c r="BH31" s="292"/>
      <c r="BI31" s="291"/>
      <c r="BJ31" s="292"/>
      <c r="BK31" s="291"/>
      <c r="BL31" s="292"/>
      <c r="BM31" s="291"/>
      <c r="BN31" s="292"/>
      <c r="BO31" s="291"/>
      <c r="BP31" s="292"/>
      <c r="BQ31" s="291"/>
      <c r="BR31" s="296"/>
      <c r="BS31" s="296"/>
      <c r="BT31" s="292"/>
      <c r="BU31" s="291"/>
      <c r="BV31" s="296"/>
      <c r="BW31" s="292"/>
      <c r="BX31" s="291"/>
      <c r="BY31" s="296"/>
      <c r="BZ31" s="296"/>
      <c r="CA31" s="296"/>
      <c r="CB31" s="296"/>
      <c r="CC31" s="296"/>
      <c r="CD31" s="296"/>
      <c r="CE31" s="296"/>
      <c r="CF31" s="296"/>
      <c r="CG31" s="296"/>
      <c r="CH31" s="296"/>
      <c r="CI31" s="296"/>
      <c r="CJ31" s="296"/>
      <c r="CK31" s="296"/>
      <c r="CL31" s="296"/>
      <c r="CM31" s="296"/>
      <c r="CN31" s="296"/>
      <c r="CO31" s="296"/>
      <c r="CP31" s="296"/>
      <c r="CQ31" s="296"/>
      <c r="CR31" s="292"/>
      <c r="CS31" s="291"/>
      <c r="CT31" s="296"/>
      <c r="CU31" s="296"/>
      <c r="CV31" s="299"/>
    </row>
    <row r="32" spans="1:100" s="134" customFormat="1" ht="13.5" customHeight="1" thickBot="1">
      <c r="A32" s="307"/>
      <c r="B32" s="308"/>
      <c r="C32" s="309"/>
      <c r="D32" s="312"/>
      <c r="E32" s="308"/>
      <c r="F32" s="309"/>
      <c r="G32" s="312"/>
      <c r="H32" s="308"/>
      <c r="I32" s="308"/>
      <c r="J32" s="308"/>
      <c r="K32" s="308"/>
      <c r="L32" s="308"/>
      <c r="M32" s="308"/>
      <c r="N32" s="308"/>
      <c r="O32" s="309"/>
      <c r="P32" s="293"/>
      <c r="Q32" s="294"/>
      <c r="R32" s="293"/>
      <c r="S32" s="297"/>
      <c r="T32" s="294"/>
      <c r="U32" s="293"/>
      <c r="V32" s="297"/>
      <c r="W32" s="294"/>
      <c r="X32" s="293"/>
      <c r="Y32" s="297"/>
      <c r="Z32" s="294"/>
      <c r="AA32" s="293"/>
      <c r="AB32" s="297"/>
      <c r="AC32" s="297"/>
      <c r="AD32" s="297"/>
      <c r="AE32" s="294"/>
      <c r="AF32" s="293"/>
      <c r="AG32" s="297"/>
      <c r="AH32" s="297"/>
      <c r="AI32" s="297"/>
      <c r="AJ32" s="294"/>
      <c r="AK32" s="293"/>
      <c r="AL32" s="294"/>
      <c r="AM32" s="293"/>
      <c r="AN32" s="294"/>
      <c r="AO32" s="293"/>
      <c r="AP32" s="294"/>
      <c r="AQ32" s="293"/>
      <c r="AR32" s="294"/>
      <c r="AS32" s="293"/>
      <c r="AT32" s="294"/>
      <c r="AU32" s="293"/>
      <c r="AV32" s="294"/>
      <c r="AW32" s="293"/>
      <c r="AX32" s="294"/>
      <c r="AY32" s="293"/>
      <c r="AZ32" s="294"/>
      <c r="BA32" s="293"/>
      <c r="BB32" s="294"/>
      <c r="BC32" s="293"/>
      <c r="BD32" s="294"/>
      <c r="BE32" s="293"/>
      <c r="BF32" s="294"/>
      <c r="BG32" s="293"/>
      <c r="BH32" s="294"/>
      <c r="BI32" s="293"/>
      <c r="BJ32" s="294"/>
      <c r="BK32" s="293"/>
      <c r="BL32" s="294"/>
      <c r="BM32" s="293"/>
      <c r="BN32" s="294"/>
      <c r="BO32" s="293"/>
      <c r="BP32" s="294"/>
      <c r="BQ32" s="293"/>
      <c r="BR32" s="297"/>
      <c r="BS32" s="297"/>
      <c r="BT32" s="294"/>
      <c r="BU32" s="293"/>
      <c r="BV32" s="297"/>
      <c r="BW32" s="294"/>
      <c r="BX32" s="293"/>
      <c r="BY32" s="297"/>
      <c r="BZ32" s="297"/>
      <c r="CA32" s="297"/>
      <c r="CB32" s="297"/>
      <c r="CC32" s="297"/>
      <c r="CD32" s="297"/>
      <c r="CE32" s="297"/>
      <c r="CF32" s="297"/>
      <c r="CG32" s="297"/>
      <c r="CH32" s="297"/>
      <c r="CI32" s="297"/>
      <c r="CJ32" s="297"/>
      <c r="CK32" s="297"/>
      <c r="CL32" s="297"/>
      <c r="CM32" s="297"/>
      <c r="CN32" s="297"/>
      <c r="CO32" s="297"/>
      <c r="CP32" s="297"/>
      <c r="CQ32" s="297"/>
      <c r="CR32" s="294"/>
      <c r="CS32" s="293"/>
      <c r="CT32" s="297"/>
      <c r="CU32" s="297"/>
      <c r="CV32" s="300"/>
    </row>
    <row r="33" spans="1:100" s="134" customFormat="1" ht="13.5" customHeight="1" thickTop="1">
      <c r="A33" s="301"/>
      <c r="B33" s="302"/>
      <c r="C33" s="303"/>
      <c r="D33" s="310"/>
      <c r="E33" s="302"/>
      <c r="F33" s="303"/>
      <c r="G33" s="310"/>
      <c r="H33" s="302"/>
      <c r="I33" s="302"/>
      <c r="J33" s="302"/>
      <c r="K33" s="302"/>
      <c r="L33" s="302"/>
      <c r="M33" s="302"/>
      <c r="N33" s="302"/>
      <c r="O33" s="303"/>
      <c r="P33" s="289"/>
      <c r="Q33" s="290"/>
      <c r="R33" s="289"/>
      <c r="S33" s="295"/>
      <c r="T33" s="290"/>
      <c r="U33" s="289"/>
      <c r="V33" s="295"/>
      <c r="W33" s="290"/>
      <c r="X33" s="289"/>
      <c r="Y33" s="295"/>
      <c r="Z33" s="290"/>
      <c r="AA33" s="289"/>
      <c r="AB33" s="295"/>
      <c r="AC33" s="295"/>
      <c r="AD33" s="295"/>
      <c r="AE33" s="290"/>
      <c r="AF33" s="289"/>
      <c r="AG33" s="295"/>
      <c r="AH33" s="295"/>
      <c r="AI33" s="295"/>
      <c r="AJ33" s="290"/>
      <c r="AK33" s="289"/>
      <c r="AL33" s="290"/>
      <c r="AM33" s="289"/>
      <c r="AN33" s="290"/>
      <c r="AO33" s="289"/>
      <c r="AP33" s="290"/>
      <c r="AQ33" s="289"/>
      <c r="AR33" s="290"/>
      <c r="AS33" s="289"/>
      <c r="AT33" s="290"/>
      <c r="AU33" s="289"/>
      <c r="AV33" s="290"/>
      <c r="AW33" s="289"/>
      <c r="AX33" s="290"/>
      <c r="AY33" s="289"/>
      <c r="AZ33" s="290"/>
      <c r="BA33" s="289"/>
      <c r="BB33" s="290"/>
      <c r="BC33" s="289"/>
      <c r="BD33" s="290"/>
      <c r="BE33" s="289"/>
      <c r="BF33" s="290"/>
      <c r="BG33" s="289"/>
      <c r="BH33" s="290"/>
      <c r="BI33" s="289"/>
      <c r="BJ33" s="290"/>
      <c r="BK33" s="289"/>
      <c r="BL33" s="290"/>
      <c r="BM33" s="289"/>
      <c r="BN33" s="290"/>
      <c r="BO33" s="289"/>
      <c r="BP33" s="290"/>
      <c r="BQ33" s="289"/>
      <c r="BR33" s="295"/>
      <c r="BS33" s="295"/>
      <c r="BT33" s="290"/>
      <c r="BU33" s="289"/>
      <c r="BV33" s="295"/>
      <c r="BW33" s="290"/>
      <c r="BX33" s="289"/>
      <c r="BY33" s="295"/>
      <c r="BZ33" s="295"/>
      <c r="CA33" s="295"/>
      <c r="CB33" s="295"/>
      <c r="CC33" s="295"/>
      <c r="CD33" s="295"/>
      <c r="CE33" s="295"/>
      <c r="CF33" s="295"/>
      <c r="CG33" s="295"/>
      <c r="CH33" s="295"/>
      <c r="CI33" s="295"/>
      <c r="CJ33" s="295"/>
      <c r="CK33" s="295"/>
      <c r="CL33" s="295"/>
      <c r="CM33" s="295"/>
      <c r="CN33" s="295"/>
      <c r="CO33" s="295"/>
      <c r="CP33" s="295"/>
      <c r="CQ33" s="295"/>
      <c r="CR33" s="290"/>
      <c r="CS33" s="289"/>
      <c r="CT33" s="295"/>
      <c r="CU33" s="295"/>
      <c r="CV33" s="298"/>
    </row>
    <row r="34" spans="1:100" s="134" customFormat="1" ht="13.5" customHeight="1">
      <c r="A34" s="304"/>
      <c r="B34" s="305"/>
      <c r="C34" s="306"/>
      <c r="D34" s="311"/>
      <c r="E34" s="305"/>
      <c r="F34" s="306"/>
      <c r="G34" s="311"/>
      <c r="H34" s="305"/>
      <c r="I34" s="305"/>
      <c r="J34" s="305"/>
      <c r="K34" s="305"/>
      <c r="L34" s="305"/>
      <c r="M34" s="305"/>
      <c r="N34" s="305"/>
      <c r="O34" s="306"/>
      <c r="P34" s="291"/>
      <c r="Q34" s="292"/>
      <c r="R34" s="291"/>
      <c r="S34" s="296"/>
      <c r="T34" s="292"/>
      <c r="U34" s="291"/>
      <c r="V34" s="296"/>
      <c r="W34" s="292"/>
      <c r="X34" s="291"/>
      <c r="Y34" s="296"/>
      <c r="Z34" s="292"/>
      <c r="AA34" s="291"/>
      <c r="AB34" s="296"/>
      <c r="AC34" s="296"/>
      <c r="AD34" s="296"/>
      <c r="AE34" s="292"/>
      <c r="AF34" s="291"/>
      <c r="AG34" s="296"/>
      <c r="AH34" s="296"/>
      <c r="AI34" s="296"/>
      <c r="AJ34" s="292"/>
      <c r="AK34" s="291"/>
      <c r="AL34" s="292"/>
      <c r="AM34" s="291"/>
      <c r="AN34" s="292"/>
      <c r="AO34" s="291"/>
      <c r="AP34" s="292"/>
      <c r="AQ34" s="291"/>
      <c r="AR34" s="292"/>
      <c r="AS34" s="291"/>
      <c r="AT34" s="292"/>
      <c r="AU34" s="291"/>
      <c r="AV34" s="292"/>
      <c r="AW34" s="291"/>
      <c r="AX34" s="292"/>
      <c r="AY34" s="291"/>
      <c r="AZ34" s="292"/>
      <c r="BA34" s="291"/>
      <c r="BB34" s="292"/>
      <c r="BC34" s="291"/>
      <c r="BD34" s="292"/>
      <c r="BE34" s="291"/>
      <c r="BF34" s="292"/>
      <c r="BG34" s="291"/>
      <c r="BH34" s="292"/>
      <c r="BI34" s="291"/>
      <c r="BJ34" s="292"/>
      <c r="BK34" s="291"/>
      <c r="BL34" s="292"/>
      <c r="BM34" s="291"/>
      <c r="BN34" s="292"/>
      <c r="BO34" s="291"/>
      <c r="BP34" s="292"/>
      <c r="BQ34" s="291"/>
      <c r="BR34" s="296"/>
      <c r="BS34" s="296"/>
      <c r="BT34" s="292"/>
      <c r="BU34" s="291"/>
      <c r="BV34" s="296"/>
      <c r="BW34" s="292"/>
      <c r="BX34" s="291"/>
      <c r="BY34" s="296"/>
      <c r="BZ34" s="296"/>
      <c r="CA34" s="296"/>
      <c r="CB34" s="296"/>
      <c r="CC34" s="296"/>
      <c r="CD34" s="296"/>
      <c r="CE34" s="296"/>
      <c r="CF34" s="296"/>
      <c r="CG34" s="296"/>
      <c r="CH34" s="296"/>
      <c r="CI34" s="296"/>
      <c r="CJ34" s="296"/>
      <c r="CK34" s="296"/>
      <c r="CL34" s="296"/>
      <c r="CM34" s="296"/>
      <c r="CN34" s="296"/>
      <c r="CO34" s="296"/>
      <c r="CP34" s="296"/>
      <c r="CQ34" s="296"/>
      <c r="CR34" s="292"/>
      <c r="CS34" s="291"/>
      <c r="CT34" s="296"/>
      <c r="CU34" s="296"/>
      <c r="CV34" s="299"/>
    </row>
    <row r="35" spans="1:100" s="134" customFormat="1" ht="13.5" customHeight="1">
      <c r="A35" s="304"/>
      <c r="B35" s="305"/>
      <c r="C35" s="306"/>
      <c r="D35" s="311"/>
      <c r="E35" s="305"/>
      <c r="F35" s="306"/>
      <c r="G35" s="311"/>
      <c r="H35" s="305"/>
      <c r="I35" s="305"/>
      <c r="J35" s="305"/>
      <c r="K35" s="305"/>
      <c r="L35" s="305"/>
      <c r="M35" s="305"/>
      <c r="N35" s="305"/>
      <c r="O35" s="306"/>
      <c r="P35" s="291"/>
      <c r="Q35" s="292"/>
      <c r="R35" s="291"/>
      <c r="S35" s="296"/>
      <c r="T35" s="292"/>
      <c r="U35" s="291"/>
      <c r="V35" s="296"/>
      <c r="W35" s="292"/>
      <c r="X35" s="291"/>
      <c r="Y35" s="296"/>
      <c r="Z35" s="292"/>
      <c r="AA35" s="291"/>
      <c r="AB35" s="296"/>
      <c r="AC35" s="296"/>
      <c r="AD35" s="296"/>
      <c r="AE35" s="292"/>
      <c r="AF35" s="291"/>
      <c r="AG35" s="296"/>
      <c r="AH35" s="296"/>
      <c r="AI35" s="296"/>
      <c r="AJ35" s="292"/>
      <c r="AK35" s="291"/>
      <c r="AL35" s="292"/>
      <c r="AM35" s="291"/>
      <c r="AN35" s="292"/>
      <c r="AO35" s="291"/>
      <c r="AP35" s="292"/>
      <c r="AQ35" s="291"/>
      <c r="AR35" s="292"/>
      <c r="AS35" s="291"/>
      <c r="AT35" s="292"/>
      <c r="AU35" s="291"/>
      <c r="AV35" s="292"/>
      <c r="AW35" s="291"/>
      <c r="AX35" s="292"/>
      <c r="AY35" s="291"/>
      <c r="AZ35" s="292"/>
      <c r="BA35" s="291"/>
      <c r="BB35" s="292"/>
      <c r="BC35" s="291"/>
      <c r="BD35" s="292"/>
      <c r="BE35" s="291"/>
      <c r="BF35" s="292"/>
      <c r="BG35" s="291"/>
      <c r="BH35" s="292"/>
      <c r="BI35" s="291"/>
      <c r="BJ35" s="292"/>
      <c r="BK35" s="291"/>
      <c r="BL35" s="292"/>
      <c r="BM35" s="291"/>
      <c r="BN35" s="292"/>
      <c r="BO35" s="291"/>
      <c r="BP35" s="292"/>
      <c r="BQ35" s="291"/>
      <c r="BR35" s="296"/>
      <c r="BS35" s="296"/>
      <c r="BT35" s="292"/>
      <c r="BU35" s="291"/>
      <c r="BV35" s="296"/>
      <c r="BW35" s="292"/>
      <c r="BX35" s="291"/>
      <c r="BY35" s="296"/>
      <c r="BZ35" s="296"/>
      <c r="CA35" s="296"/>
      <c r="CB35" s="296"/>
      <c r="CC35" s="296"/>
      <c r="CD35" s="296"/>
      <c r="CE35" s="296"/>
      <c r="CF35" s="296"/>
      <c r="CG35" s="296"/>
      <c r="CH35" s="296"/>
      <c r="CI35" s="296"/>
      <c r="CJ35" s="296"/>
      <c r="CK35" s="296"/>
      <c r="CL35" s="296"/>
      <c r="CM35" s="296"/>
      <c r="CN35" s="296"/>
      <c r="CO35" s="296"/>
      <c r="CP35" s="296"/>
      <c r="CQ35" s="296"/>
      <c r="CR35" s="292"/>
      <c r="CS35" s="291"/>
      <c r="CT35" s="296"/>
      <c r="CU35" s="296"/>
      <c r="CV35" s="299"/>
    </row>
    <row r="36" spans="1:100" s="134" customFormat="1" ht="13.5" customHeight="1">
      <c r="A36" s="307"/>
      <c r="B36" s="308"/>
      <c r="C36" s="309"/>
      <c r="D36" s="312"/>
      <c r="E36" s="308"/>
      <c r="F36" s="309"/>
      <c r="G36" s="312"/>
      <c r="H36" s="308"/>
      <c r="I36" s="308"/>
      <c r="J36" s="308"/>
      <c r="K36" s="308"/>
      <c r="L36" s="308"/>
      <c r="M36" s="308"/>
      <c r="N36" s="308"/>
      <c r="O36" s="309"/>
      <c r="P36" s="293"/>
      <c r="Q36" s="294"/>
      <c r="R36" s="293"/>
      <c r="S36" s="297"/>
      <c r="T36" s="294"/>
      <c r="U36" s="293"/>
      <c r="V36" s="297"/>
      <c r="W36" s="294"/>
      <c r="X36" s="293"/>
      <c r="Y36" s="297"/>
      <c r="Z36" s="294"/>
      <c r="AA36" s="293"/>
      <c r="AB36" s="297"/>
      <c r="AC36" s="297"/>
      <c r="AD36" s="297"/>
      <c r="AE36" s="294"/>
      <c r="AF36" s="293"/>
      <c r="AG36" s="297"/>
      <c r="AH36" s="297"/>
      <c r="AI36" s="297"/>
      <c r="AJ36" s="294"/>
      <c r="AK36" s="293"/>
      <c r="AL36" s="294"/>
      <c r="AM36" s="293"/>
      <c r="AN36" s="294"/>
      <c r="AO36" s="293"/>
      <c r="AP36" s="294"/>
      <c r="AQ36" s="293"/>
      <c r="AR36" s="294"/>
      <c r="AS36" s="293"/>
      <c r="AT36" s="294"/>
      <c r="AU36" s="293"/>
      <c r="AV36" s="294"/>
      <c r="AW36" s="293"/>
      <c r="AX36" s="294"/>
      <c r="AY36" s="293"/>
      <c r="AZ36" s="294"/>
      <c r="BA36" s="293"/>
      <c r="BB36" s="294"/>
      <c r="BC36" s="293"/>
      <c r="BD36" s="294"/>
      <c r="BE36" s="293"/>
      <c r="BF36" s="294"/>
      <c r="BG36" s="293"/>
      <c r="BH36" s="294"/>
      <c r="BI36" s="293"/>
      <c r="BJ36" s="294"/>
      <c r="BK36" s="293"/>
      <c r="BL36" s="294"/>
      <c r="BM36" s="293"/>
      <c r="BN36" s="294"/>
      <c r="BO36" s="293"/>
      <c r="BP36" s="294"/>
      <c r="BQ36" s="293"/>
      <c r="BR36" s="297"/>
      <c r="BS36" s="297"/>
      <c r="BT36" s="294"/>
      <c r="BU36" s="293"/>
      <c r="BV36" s="297"/>
      <c r="BW36" s="294"/>
      <c r="BX36" s="293"/>
      <c r="BY36" s="297"/>
      <c r="BZ36" s="297"/>
      <c r="CA36" s="297"/>
      <c r="CB36" s="297"/>
      <c r="CC36" s="297"/>
      <c r="CD36" s="297"/>
      <c r="CE36" s="297"/>
      <c r="CF36" s="297"/>
      <c r="CG36" s="297"/>
      <c r="CH36" s="297"/>
      <c r="CI36" s="297"/>
      <c r="CJ36" s="297"/>
      <c r="CK36" s="297"/>
      <c r="CL36" s="297"/>
      <c r="CM36" s="297"/>
      <c r="CN36" s="297"/>
      <c r="CO36" s="297"/>
      <c r="CP36" s="297"/>
      <c r="CQ36" s="297"/>
      <c r="CR36" s="294"/>
      <c r="CS36" s="293"/>
      <c r="CT36" s="297"/>
      <c r="CU36" s="297"/>
      <c r="CV36" s="300"/>
    </row>
  </sheetData>
  <mergeCells count="239">
    <mergeCell ref="A3:Z4"/>
    <mergeCell ref="A5:C8"/>
    <mergeCell ref="D5:F8"/>
    <mergeCell ref="G5:O8"/>
    <mergeCell ref="P5:BT5"/>
    <mergeCell ref="BU5:CV5"/>
    <mergeCell ref="P6:Q8"/>
    <mergeCell ref="R6:T8"/>
    <mergeCell ref="U6:W8"/>
    <mergeCell ref="X6:Z8"/>
    <mergeCell ref="AS8:AT8"/>
    <mergeCell ref="AU8:AV8"/>
    <mergeCell ref="AA6:AJ6"/>
    <mergeCell ref="AK6:BP6"/>
    <mergeCell ref="BQ6:BT8"/>
    <mergeCell ref="BU6:BW8"/>
    <mergeCell ref="BX6:CR8"/>
    <mergeCell ref="CS6:CV8"/>
    <mergeCell ref="AA7:AE8"/>
    <mergeCell ref="AF7:AJ8"/>
    <mergeCell ref="AK7:AX7"/>
    <mergeCell ref="AY7:BP7"/>
    <mergeCell ref="AF9:AJ12"/>
    <mergeCell ref="AK9:AL12"/>
    <mergeCell ref="AM9:AN12"/>
    <mergeCell ref="AO9:AP12"/>
    <mergeCell ref="BI8:BJ8"/>
    <mergeCell ref="BK8:BL8"/>
    <mergeCell ref="BM8:BN8"/>
    <mergeCell ref="BO8:BP8"/>
    <mergeCell ref="A9:C12"/>
    <mergeCell ref="D9:F12"/>
    <mergeCell ref="G9:O12"/>
    <mergeCell ref="P9:Q12"/>
    <mergeCell ref="R9:T12"/>
    <mergeCell ref="U9:W12"/>
    <mergeCell ref="AW8:AX8"/>
    <mergeCell ref="AY8:AZ8"/>
    <mergeCell ref="BA8:BB8"/>
    <mergeCell ref="BC8:BD8"/>
    <mergeCell ref="BE8:BF8"/>
    <mergeCell ref="BG8:BH8"/>
    <mergeCell ref="AK8:AL8"/>
    <mergeCell ref="AM8:AN8"/>
    <mergeCell ref="AO8:AP8"/>
    <mergeCell ref="AQ8:AR8"/>
    <mergeCell ref="BO9:BP12"/>
    <mergeCell ref="BQ9:BT12"/>
    <mergeCell ref="BU9:BW12"/>
    <mergeCell ref="BX9:CR12"/>
    <mergeCell ref="CS9:CV12"/>
    <mergeCell ref="A13:C16"/>
    <mergeCell ref="D13:F16"/>
    <mergeCell ref="G13:O16"/>
    <mergeCell ref="P13:Q16"/>
    <mergeCell ref="R13:T16"/>
    <mergeCell ref="BC9:BD12"/>
    <mergeCell ref="BE9:BF12"/>
    <mergeCell ref="BG9:BH12"/>
    <mergeCell ref="BI9:BJ12"/>
    <mergeCell ref="BK9:BL12"/>
    <mergeCell ref="BM9:BN12"/>
    <mergeCell ref="AQ9:AR12"/>
    <mergeCell ref="AS9:AT12"/>
    <mergeCell ref="AU9:AV12"/>
    <mergeCell ref="AW9:AX12"/>
    <mergeCell ref="AY9:AZ12"/>
    <mergeCell ref="BA9:BB12"/>
    <mergeCell ref="X9:Z12"/>
    <mergeCell ref="AA9:AE12"/>
    <mergeCell ref="AO13:AP16"/>
    <mergeCell ref="AQ13:AR16"/>
    <mergeCell ref="AS13:AT16"/>
    <mergeCell ref="AU13:AV16"/>
    <mergeCell ref="AW13:AX16"/>
    <mergeCell ref="AY13:AZ16"/>
    <mergeCell ref="U13:W16"/>
    <mergeCell ref="X13:Z16"/>
    <mergeCell ref="AA13:AE16"/>
    <mergeCell ref="AF13:AJ16"/>
    <mergeCell ref="AK13:AL16"/>
    <mergeCell ref="AM13:AN16"/>
    <mergeCell ref="BM13:BN16"/>
    <mergeCell ref="BO13:BP16"/>
    <mergeCell ref="BQ13:BT16"/>
    <mergeCell ref="BU13:BW16"/>
    <mergeCell ref="BX13:CR16"/>
    <mergeCell ref="CS13:CV16"/>
    <mergeCell ref="BA13:BB16"/>
    <mergeCell ref="BC13:BD16"/>
    <mergeCell ref="BE13:BF16"/>
    <mergeCell ref="BG13:BH16"/>
    <mergeCell ref="BI13:BJ16"/>
    <mergeCell ref="BK13:BL16"/>
    <mergeCell ref="AF17:AJ20"/>
    <mergeCell ref="AK17:AL20"/>
    <mergeCell ref="AM17:AN20"/>
    <mergeCell ref="AO17:AP20"/>
    <mergeCell ref="A17:C20"/>
    <mergeCell ref="D17:F20"/>
    <mergeCell ref="G17:O20"/>
    <mergeCell ref="P17:Q20"/>
    <mergeCell ref="R17:T20"/>
    <mergeCell ref="U17:W20"/>
    <mergeCell ref="BO17:BP20"/>
    <mergeCell ref="BQ17:BT20"/>
    <mergeCell ref="BU17:BW20"/>
    <mergeCell ref="BX17:CR20"/>
    <mergeCell ref="CS17:CV20"/>
    <mergeCell ref="A21:C24"/>
    <mergeCell ref="D21:F24"/>
    <mergeCell ref="G21:O24"/>
    <mergeCell ref="P21:Q24"/>
    <mergeCell ref="R21:T24"/>
    <mergeCell ref="BC17:BD20"/>
    <mergeCell ref="BE17:BF20"/>
    <mergeCell ref="BG17:BH20"/>
    <mergeCell ref="BI17:BJ20"/>
    <mergeCell ref="BK17:BL20"/>
    <mergeCell ref="BM17:BN20"/>
    <mergeCell ref="AQ17:AR20"/>
    <mergeCell ref="AS17:AT20"/>
    <mergeCell ref="AU17:AV20"/>
    <mergeCell ref="AW17:AX20"/>
    <mergeCell ref="AY17:AZ20"/>
    <mergeCell ref="BA17:BB20"/>
    <mergeCell ref="X17:Z20"/>
    <mergeCell ref="AA17:AE20"/>
    <mergeCell ref="AO21:AP24"/>
    <mergeCell ref="AQ21:AR24"/>
    <mergeCell ref="AS21:AT24"/>
    <mergeCell ref="AU21:AV24"/>
    <mergeCell ref="AW21:AX24"/>
    <mergeCell ref="AY21:AZ24"/>
    <mergeCell ref="U21:W24"/>
    <mergeCell ref="X21:Z24"/>
    <mergeCell ref="AA21:AE24"/>
    <mergeCell ref="AF21:AJ24"/>
    <mergeCell ref="AK21:AL24"/>
    <mergeCell ref="AM21:AN24"/>
    <mergeCell ref="BM21:BN24"/>
    <mergeCell ref="BO21:BP24"/>
    <mergeCell ref="BQ21:BT24"/>
    <mergeCell ref="BU21:BW24"/>
    <mergeCell ref="BX21:CR24"/>
    <mergeCell ref="CS21:CV24"/>
    <mergeCell ref="BA21:BB24"/>
    <mergeCell ref="BC21:BD24"/>
    <mergeCell ref="BE21:BF24"/>
    <mergeCell ref="BG21:BH24"/>
    <mergeCell ref="BI21:BJ24"/>
    <mergeCell ref="BK21:BL24"/>
    <mergeCell ref="AF25:AJ28"/>
    <mergeCell ref="AK25:AL28"/>
    <mergeCell ref="AM25:AN28"/>
    <mergeCell ref="AO25:AP28"/>
    <mergeCell ref="A25:C28"/>
    <mergeCell ref="D25:F28"/>
    <mergeCell ref="G25:O28"/>
    <mergeCell ref="P25:Q28"/>
    <mergeCell ref="R25:T28"/>
    <mergeCell ref="U25:W28"/>
    <mergeCell ref="BO25:BP28"/>
    <mergeCell ref="BQ25:BT28"/>
    <mergeCell ref="BU25:BW28"/>
    <mergeCell ref="BX25:CR28"/>
    <mergeCell ref="CS25:CV28"/>
    <mergeCell ref="A29:C32"/>
    <mergeCell ref="D29:F32"/>
    <mergeCell ref="G29:O32"/>
    <mergeCell ref="P29:Q32"/>
    <mergeCell ref="R29:T32"/>
    <mergeCell ref="BC25:BD28"/>
    <mergeCell ref="BE25:BF28"/>
    <mergeCell ref="BG25:BH28"/>
    <mergeCell ref="BI25:BJ28"/>
    <mergeCell ref="BK25:BL28"/>
    <mergeCell ref="BM25:BN28"/>
    <mergeCell ref="AQ25:AR28"/>
    <mergeCell ref="AS25:AT28"/>
    <mergeCell ref="AU25:AV28"/>
    <mergeCell ref="AW25:AX28"/>
    <mergeCell ref="AY25:AZ28"/>
    <mergeCell ref="BA25:BB28"/>
    <mergeCell ref="X25:Z28"/>
    <mergeCell ref="AA25:AE28"/>
    <mergeCell ref="BU29:BW32"/>
    <mergeCell ref="BX29:CR32"/>
    <mergeCell ref="CS29:CV32"/>
    <mergeCell ref="BA29:BB32"/>
    <mergeCell ref="BC29:BD32"/>
    <mergeCell ref="BE29:BF32"/>
    <mergeCell ref="BG29:BH32"/>
    <mergeCell ref="BI29:BJ32"/>
    <mergeCell ref="BK29:BL32"/>
    <mergeCell ref="A33:C36"/>
    <mergeCell ref="D33:F36"/>
    <mergeCell ref="G33:O36"/>
    <mergeCell ref="P33:Q36"/>
    <mergeCell ref="R33:T36"/>
    <mergeCell ref="U33:W36"/>
    <mergeCell ref="BM29:BN32"/>
    <mergeCell ref="BO29:BP32"/>
    <mergeCell ref="BQ29:BT32"/>
    <mergeCell ref="AO29:AP32"/>
    <mergeCell ref="AQ29:AR32"/>
    <mergeCell ref="AS29:AT32"/>
    <mergeCell ref="AU29:AV32"/>
    <mergeCell ref="AW29:AX32"/>
    <mergeCell ref="AY29:AZ32"/>
    <mergeCell ref="U29:W32"/>
    <mergeCell ref="X29:Z32"/>
    <mergeCell ref="AA29:AE32"/>
    <mergeCell ref="AF29:AJ32"/>
    <mergeCell ref="AK29:AL32"/>
    <mergeCell ref="AM29:AN32"/>
    <mergeCell ref="AQ33:AR36"/>
    <mergeCell ref="AS33:AT36"/>
    <mergeCell ref="AU33:AV36"/>
    <mergeCell ref="AW33:AX36"/>
    <mergeCell ref="AY33:AZ36"/>
    <mergeCell ref="BA33:BB36"/>
    <mergeCell ref="X33:Z36"/>
    <mergeCell ref="AA33:AE36"/>
    <mergeCell ref="AF33:AJ36"/>
    <mergeCell ref="AK33:AL36"/>
    <mergeCell ref="AM33:AN36"/>
    <mergeCell ref="AO33:AP36"/>
    <mergeCell ref="BO33:BP36"/>
    <mergeCell ref="BQ33:BT36"/>
    <mergeCell ref="BU33:BW36"/>
    <mergeCell ref="BX33:CR36"/>
    <mergeCell ref="CS33:CV36"/>
    <mergeCell ref="BC33:BD36"/>
    <mergeCell ref="BE33:BF36"/>
    <mergeCell ref="BG33:BH36"/>
    <mergeCell ref="BI33:BJ36"/>
    <mergeCell ref="BK33:BL36"/>
    <mergeCell ref="BM33:BN36"/>
  </mergeCells>
  <phoneticPr fontId="3"/>
  <pageMargins left="0.7" right="0.7" top="0.75" bottom="0.75" header="0.3" footer="0.3"/>
  <pageSetup paperSize="9" scale="56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A5085-CC8D-47DC-B2B5-5B8A1C6DFF06}">
  <dimension ref="A1:AB38"/>
  <sheetViews>
    <sheetView showGridLines="0" view="pageBreakPreview" zoomScaleNormal="100" zoomScaleSheetLayoutView="100" workbookViewId="0"/>
  </sheetViews>
  <sheetFormatPr defaultRowHeight="15.75"/>
  <cols>
    <col min="1" max="1" width="14.125" style="78" customWidth="1"/>
    <col min="2" max="2" width="15.875" style="78" customWidth="1"/>
    <col min="3" max="3" width="17.25" style="78" bestFit="1" customWidth="1"/>
    <col min="4" max="4" width="27.625" style="78" bestFit="1" customWidth="1"/>
    <col min="5" max="27" width="2.125" style="50" customWidth="1"/>
    <col min="28" max="28" width="1.875" style="50" customWidth="1"/>
    <col min="29" max="16384" width="9" style="78"/>
  </cols>
  <sheetData>
    <row r="1" spans="1:28">
      <c r="D1" s="147" t="s">
        <v>15</v>
      </c>
    </row>
    <row r="2" spans="1:28" ht="21" customHeight="1" thickBot="1"/>
    <row r="3" spans="1:28" ht="18.75" customHeight="1">
      <c r="A3" s="216" t="s">
        <v>152</v>
      </c>
      <c r="B3" s="216"/>
      <c r="C3" s="216"/>
      <c r="D3" s="148"/>
      <c r="E3" s="367" t="s">
        <v>7</v>
      </c>
      <c r="F3" s="368"/>
      <c r="G3" s="368"/>
      <c r="H3" s="368"/>
      <c r="I3" s="368"/>
      <c r="J3" s="368"/>
      <c r="K3" s="369" t="s">
        <v>17</v>
      </c>
      <c r="L3" s="370"/>
      <c r="M3" s="370"/>
      <c r="N3" s="370"/>
      <c r="O3" s="370"/>
      <c r="P3" s="370"/>
      <c r="Q3" s="370"/>
      <c r="R3" s="370"/>
      <c r="S3" s="370"/>
      <c r="T3" s="370"/>
      <c r="U3" s="370"/>
      <c r="V3" s="370"/>
      <c r="W3" s="370"/>
      <c r="X3" s="370"/>
      <c r="Y3" s="370"/>
      <c r="Z3" s="370"/>
      <c r="AA3" s="370"/>
      <c r="AB3" s="371"/>
    </row>
    <row r="4" spans="1:28" ht="18.75" customHeight="1" thickBot="1">
      <c r="A4" s="216"/>
      <c r="B4" s="216"/>
      <c r="C4" s="216"/>
      <c r="D4" s="148"/>
      <c r="E4" s="372" t="s">
        <v>18</v>
      </c>
      <c r="F4" s="373"/>
      <c r="G4" s="373"/>
      <c r="H4" s="373"/>
      <c r="I4" s="373"/>
      <c r="J4" s="373"/>
      <c r="K4" s="374" t="s">
        <v>153</v>
      </c>
      <c r="L4" s="375"/>
      <c r="M4" s="375"/>
      <c r="N4" s="375"/>
      <c r="O4" s="375"/>
      <c r="P4" s="375"/>
      <c r="Q4" s="375"/>
      <c r="R4" s="375"/>
      <c r="S4" s="375"/>
      <c r="T4" s="375"/>
      <c r="U4" s="375"/>
      <c r="V4" s="375"/>
      <c r="W4" s="375"/>
      <c r="X4" s="375"/>
      <c r="Y4" s="375"/>
      <c r="Z4" s="375"/>
      <c r="AA4" s="375"/>
      <c r="AB4" s="376"/>
    </row>
    <row r="5" spans="1:28" ht="16.5" thickBot="1">
      <c r="A5" s="149" t="s">
        <v>154</v>
      </c>
      <c r="B5" s="150" t="s">
        <v>155</v>
      </c>
      <c r="C5" s="150" t="s">
        <v>156</v>
      </c>
      <c r="D5" s="151" t="s">
        <v>157</v>
      </c>
      <c r="E5" s="152" t="s">
        <v>111</v>
      </c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</row>
    <row r="6" spans="1:28" ht="19.5" customHeight="1" thickTop="1">
      <c r="A6" s="153" t="s">
        <v>158</v>
      </c>
      <c r="B6" s="154">
        <v>14</v>
      </c>
      <c r="C6" s="155" t="s">
        <v>159</v>
      </c>
      <c r="D6" s="155" t="s">
        <v>160</v>
      </c>
      <c r="E6" s="364"/>
      <c r="F6" s="365"/>
      <c r="G6" s="365"/>
      <c r="H6" s="365"/>
      <c r="I6" s="365"/>
      <c r="J6" s="365"/>
      <c r="K6" s="365"/>
      <c r="L6" s="365"/>
      <c r="M6" s="365"/>
      <c r="N6" s="365"/>
      <c r="O6" s="365"/>
      <c r="P6" s="365"/>
      <c r="Q6" s="365"/>
      <c r="R6" s="365"/>
      <c r="S6" s="365"/>
      <c r="T6" s="365"/>
      <c r="U6" s="365"/>
      <c r="V6" s="365"/>
      <c r="W6" s="365"/>
      <c r="X6" s="365"/>
      <c r="Y6" s="365"/>
      <c r="Z6" s="365"/>
      <c r="AA6" s="365"/>
      <c r="AB6" s="366"/>
    </row>
    <row r="7" spans="1:28">
      <c r="A7" s="153" t="s">
        <v>161</v>
      </c>
      <c r="B7" s="154" t="s">
        <v>162</v>
      </c>
      <c r="C7" s="155" t="s">
        <v>163</v>
      </c>
      <c r="D7" s="155" t="s">
        <v>164</v>
      </c>
      <c r="E7" s="358"/>
      <c r="F7" s="359"/>
      <c r="G7" s="359"/>
      <c r="H7" s="359"/>
      <c r="I7" s="359"/>
      <c r="J7" s="359"/>
      <c r="K7" s="359"/>
      <c r="L7" s="359"/>
      <c r="M7" s="359"/>
      <c r="N7" s="359"/>
      <c r="O7" s="359"/>
      <c r="P7" s="359"/>
      <c r="Q7" s="359"/>
      <c r="R7" s="359"/>
      <c r="S7" s="359"/>
      <c r="T7" s="359"/>
      <c r="U7" s="359"/>
      <c r="V7" s="359"/>
      <c r="W7" s="359"/>
      <c r="X7" s="359"/>
      <c r="Y7" s="359"/>
      <c r="Z7" s="359"/>
      <c r="AA7" s="359"/>
      <c r="AB7" s="360"/>
    </row>
    <row r="8" spans="1:28">
      <c r="A8" s="153"/>
      <c r="B8" s="155"/>
      <c r="C8" s="155"/>
      <c r="D8" s="155"/>
      <c r="E8" s="358"/>
      <c r="F8" s="359"/>
      <c r="G8" s="359"/>
      <c r="H8" s="359"/>
      <c r="I8" s="359"/>
      <c r="J8" s="359"/>
      <c r="K8" s="359"/>
      <c r="L8" s="359"/>
      <c r="M8" s="359"/>
      <c r="N8" s="359"/>
      <c r="O8" s="359"/>
      <c r="P8" s="359"/>
      <c r="Q8" s="359"/>
      <c r="R8" s="359"/>
      <c r="S8" s="359"/>
      <c r="T8" s="359"/>
      <c r="U8" s="359"/>
      <c r="V8" s="359"/>
      <c r="W8" s="359"/>
      <c r="X8" s="359"/>
      <c r="Y8" s="359"/>
      <c r="Z8" s="359"/>
      <c r="AA8" s="359"/>
      <c r="AB8" s="360"/>
    </row>
    <row r="9" spans="1:28">
      <c r="A9" s="153"/>
      <c r="B9" s="155"/>
      <c r="C9" s="155"/>
      <c r="D9" s="155"/>
      <c r="E9" s="358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  <c r="R9" s="359"/>
      <c r="S9" s="359"/>
      <c r="T9" s="359"/>
      <c r="U9" s="359"/>
      <c r="V9" s="359"/>
      <c r="W9" s="359"/>
      <c r="X9" s="359"/>
      <c r="Y9" s="359"/>
      <c r="Z9" s="359"/>
      <c r="AA9" s="359"/>
      <c r="AB9" s="360"/>
    </row>
    <row r="10" spans="1:28">
      <c r="A10" s="153"/>
      <c r="B10" s="155"/>
      <c r="C10" s="155"/>
      <c r="D10" s="155"/>
      <c r="E10" s="358"/>
      <c r="F10" s="359"/>
      <c r="G10" s="359"/>
      <c r="H10" s="359"/>
      <c r="I10" s="359"/>
      <c r="J10" s="359"/>
      <c r="K10" s="359"/>
      <c r="L10" s="359"/>
      <c r="M10" s="359"/>
      <c r="N10" s="359"/>
      <c r="O10" s="359"/>
      <c r="P10" s="359"/>
      <c r="Q10" s="359"/>
      <c r="R10" s="359"/>
      <c r="S10" s="359"/>
      <c r="T10" s="359"/>
      <c r="U10" s="359"/>
      <c r="V10" s="359"/>
      <c r="W10" s="359"/>
      <c r="X10" s="359"/>
      <c r="Y10" s="359"/>
      <c r="Z10" s="359"/>
      <c r="AA10" s="359"/>
      <c r="AB10" s="360"/>
    </row>
    <row r="11" spans="1:28">
      <c r="A11" s="153"/>
      <c r="B11" s="155"/>
      <c r="C11" s="155"/>
      <c r="D11" s="155"/>
      <c r="E11" s="358"/>
      <c r="F11" s="359"/>
      <c r="G11" s="359"/>
      <c r="H11" s="359"/>
      <c r="I11" s="359"/>
      <c r="J11" s="359"/>
      <c r="K11" s="359"/>
      <c r="L11" s="359"/>
      <c r="M11" s="359"/>
      <c r="N11" s="359"/>
      <c r="O11" s="359"/>
      <c r="P11" s="359"/>
      <c r="Q11" s="359"/>
      <c r="R11" s="359"/>
      <c r="S11" s="359"/>
      <c r="T11" s="359"/>
      <c r="U11" s="359"/>
      <c r="V11" s="359"/>
      <c r="W11" s="359"/>
      <c r="X11" s="359"/>
      <c r="Y11" s="359"/>
      <c r="Z11" s="359"/>
      <c r="AA11" s="359"/>
      <c r="AB11" s="360"/>
    </row>
    <row r="12" spans="1:28">
      <c r="A12" s="153"/>
      <c r="B12" s="155"/>
      <c r="C12" s="155"/>
      <c r="D12" s="155"/>
      <c r="E12" s="358"/>
      <c r="F12" s="359"/>
      <c r="G12" s="359"/>
      <c r="H12" s="359"/>
      <c r="I12" s="359"/>
      <c r="J12" s="359"/>
      <c r="K12" s="359"/>
      <c r="L12" s="359"/>
      <c r="M12" s="359"/>
      <c r="N12" s="359"/>
      <c r="O12" s="359"/>
      <c r="P12" s="359"/>
      <c r="Q12" s="359"/>
      <c r="R12" s="359"/>
      <c r="S12" s="359"/>
      <c r="T12" s="359"/>
      <c r="U12" s="359"/>
      <c r="V12" s="359"/>
      <c r="W12" s="359"/>
      <c r="X12" s="359"/>
      <c r="Y12" s="359"/>
      <c r="Z12" s="359"/>
      <c r="AA12" s="359"/>
      <c r="AB12" s="360"/>
    </row>
    <row r="13" spans="1:28">
      <c r="A13" s="153"/>
      <c r="B13" s="155"/>
      <c r="C13" s="155"/>
      <c r="D13" s="155"/>
      <c r="E13" s="358"/>
      <c r="F13" s="359"/>
      <c r="G13" s="359"/>
      <c r="H13" s="359"/>
      <c r="I13" s="359"/>
      <c r="J13" s="359"/>
      <c r="K13" s="359"/>
      <c r="L13" s="359"/>
      <c r="M13" s="359"/>
      <c r="N13" s="359"/>
      <c r="O13" s="359"/>
      <c r="P13" s="359"/>
      <c r="Q13" s="359"/>
      <c r="R13" s="359"/>
      <c r="S13" s="359"/>
      <c r="T13" s="359"/>
      <c r="U13" s="359"/>
      <c r="V13" s="359"/>
      <c r="W13" s="359"/>
      <c r="X13" s="359"/>
      <c r="Y13" s="359"/>
      <c r="Z13" s="359"/>
      <c r="AA13" s="359"/>
      <c r="AB13" s="360"/>
    </row>
    <row r="14" spans="1:28">
      <c r="A14" s="153"/>
      <c r="B14" s="155"/>
      <c r="C14" s="155"/>
      <c r="D14" s="155"/>
      <c r="E14" s="358"/>
      <c r="F14" s="359"/>
      <c r="G14" s="359"/>
      <c r="H14" s="359"/>
      <c r="I14" s="359"/>
      <c r="J14" s="359"/>
      <c r="K14" s="359"/>
      <c r="L14" s="359"/>
      <c r="M14" s="359"/>
      <c r="N14" s="359"/>
      <c r="O14" s="359"/>
      <c r="P14" s="359"/>
      <c r="Q14" s="359"/>
      <c r="R14" s="359"/>
      <c r="S14" s="359"/>
      <c r="T14" s="359"/>
      <c r="U14" s="359"/>
      <c r="V14" s="359"/>
      <c r="W14" s="359"/>
      <c r="X14" s="359"/>
      <c r="Y14" s="359"/>
      <c r="Z14" s="359"/>
      <c r="AA14" s="359"/>
      <c r="AB14" s="360"/>
    </row>
    <row r="15" spans="1:28">
      <c r="A15" s="153"/>
      <c r="B15" s="155"/>
      <c r="C15" s="155"/>
      <c r="D15" s="155"/>
      <c r="E15" s="358"/>
      <c r="F15" s="359"/>
      <c r="G15" s="359"/>
      <c r="H15" s="359"/>
      <c r="I15" s="359"/>
      <c r="J15" s="359"/>
      <c r="K15" s="359"/>
      <c r="L15" s="359"/>
      <c r="M15" s="359"/>
      <c r="N15" s="359"/>
      <c r="O15" s="359"/>
      <c r="P15" s="359"/>
      <c r="Q15" s="359"/>
      <c r="R15" s="359"/>
      <c r="S15" s="359"/>
      <c r="T15" s="359"/>
      <c r="U15" s="359"/>
      <c r="V15" s="359"/>
      <c r="W15" s="359"/>
      <c r="X15" s="359"/>
      <c r="Y15" s="359"/>
      <c r="Z15" s="359"/>
      <c r="AA15" s="359"/>
      <c r="AB15" s="360"/>
    </row>
    <row r="16" spans="1:28">
      <c r="A16" s="153"/>
      <c r="B16" s="155"/>
      <c r="C16" s="155"/>
      <c r="D16" s="155"/>
      <c r="E16" s="358"/>
      <c r="F16" s="359"/>
      <c r="G16" s="359"/>
      <c r="H16" s="359"/>
      <c r="I16" s="359"/>
      <c r="J16" s="359"/>
      <c r="K16" s="359"/>
      <c r="L16" s="359"/>
      <c r="M16" s="359"/>
      <c r="N16" s="359"/>
      <c r="O16" s="359"/>
      <c r="P16" s="359"/>
      <c r="Q16" s="359"/>
      <c r="R16" s="359"/>
      <c r="S16" s="359"/>
      <c r="T16" s="359"/>
      <c r="U16" s="359"/>
      <c r="V16" s="359"/>
      <c r="W16" s="359"/>
      <c r="X16" s="359"/>
      <c r="Y16" s="359"/>
      <c r="Z16" s="359"/>
      <c r="AA16" s="359"/>
      <c r="AB16" s="360"/>
    </row>
    <row r="17" spans="1:28">
      <c r="A17" s="153"/>
      <c r="B17" s="155"/>
      <c r="C17" s="155"/>
      <c r="D17" s="155"/>
      <c r="E17" s="358"/>
      <c r="F17" s="359"/>
      <c r="G17" s="359"/>
      <c r="H17" s="359"/>
      <c r="I17" s="359"/>
      <c r="J17" s="359"/>
      <c r="K17" s="359"/>
      <c r="L17" s="359"/>
      <c r="M17" s="359"/>
      <c r="N17" s="359"/>
      <c r="O17" s="359"/>
      <c r="P17" s="359"/>
      <c r="Q17" s="359"/>
      <c r="R17" s="359"/>
      <c r="S17" s="359"/>
      <c r="T17" s="359"/>
      <c r="U17" s="359"/>
      <c r="V17" s="359"/>
      <c r="W17" s="359"/>
      <c r="X17" s="359"/>
      <c r="Y17" s="359"/>
      <c r="Z17" s="359"/>
      <c r="AA17" s="359"/>
      <c r="AB17" s="360"/>
    </row>
    <row r="18" spans="1:28">
      <c r="A18" s="153"/>
      <c r="B18" s="155"/>
      <c r="C18" s="155"/>
      <c r="D18" s="155"/>
      <c r="E18" s="358"/>
      <c r="F18" s="359"/>
      <c r="G18" s="359"/>
      <c r="H18" s="359"/>
      <c r="I18" s="359"/>
      <c r="J18" s="359"/>
      <c r="K18" s="359"/>
      <c r="L18" s="359"/>
      <c r="M18" s="359"/>
      <c r="N18" s="359"/>
      <c r="O18" s="359"/>
      <c r="P18" s="359"/>
      <c r="Q18" s="359"/>
      <c r="R18" s="359"/>
      <c r="S18" s="359"/>
      <c r="T18" s="359"/>
      <c r="U18" s="359"/>
      <c r="V18" s="359"/>
      <c r="W18" s="359"/>
      <c r="X18" s="359"/>
      <c r="Y18" s="359"/>
      <c r="Z18" s="359"/>
      <c r="AA18" s="359"/>
      <c r="AB18" s="360"/>
    </row>
    <row r="19" spans="1:28">
      <c r="A19" s="153"/>
      <c r="B19" s="155"/>
      <c r="C19" s="155"/>
      <c r="D19" s="155"/>
      <c r="E19" s="358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  <c r="R19" s="359"/>
      <c r="S19" s="359"/>
      <c r="T19" s="359"/>
      <c r="U19" s="359"/>
      <c r="V19" s="359"/>
      <c r="W19" s="359"/>
      <c r="X19" s="359"/>
      <c r="Y19" s="359"/>
      <c r="Z19" s="359"/>
      <c r="AA19" s="359"/>
      <c r="AB19" s="360"/>
    </row>
    <row r="20" spans="1:28">
      <c r="A20" s="153"/>
      <c r="B20" s="155"/>
      <c r="C20" s="155"/>
      <c r="D20" s="155"/>
      <c r="E20" s="358"/>
      <c r="F20" s="359"/>
      <c r="G20" s="359"/>
      <c r="H20" s="359"/>
      <c r="I20" s="359"/>
      <c r="J20" s="359"/>
      <c r="K20" s="359"/>
      <c r="L20" s="359"/>
      <c r="M20" s="359"/>
      <c r="N20" s="359"/>
      <c r="O20" s="359"/>
      <c r="P20" s="359"/>
      <c r="Q20" s="359"/>
      <c r="R20" s="359"/>
      <c r="S20" s="359"/>
      <c r="T20" s="359"/>
      <c r="U20" s="359"/>
      <c r="V20" s="359"/>
      <c r="W20" s="359"/>
      <c r="X20" s="359"/>
      <c r="Y20" s="359"/>
      <c r="Z20" s="359"/>
      <c r="AA20" s="359"/>
      <c r="AB20" s="360"/>
    </row>
    <row r="21" spans="1:28">
      <c r="A21" s="153"/>
      <c r="B21" s="155"/>
      <c r="C21" s="155"/>
      <c r="D21" s="155"/>
      <c r="E21" s="358"/>
      <c r="F21" s="359"/>
      <c r="G21" s="359"/>
      <c r="H21" s="359"/>
      <c r="I21" s="359"/>
      <c r="J21" s="359"/>
      <c r="K21" s="359"/>
      <c r="L21" s="359"/>
      <c r="M21" s="359"/>
      <c r="N21" s="359"/>
      <c r="O21" s="359"/>
      <c r="P21" s="359"/>
      <c r="Q21" s="359"/>
      <c r="R21" s="359"/>
      <c r="S21" s="359"/>
      <c r="T21" s="359"/>
      <c r="U21" s="359"/>
      <c r="V21" s="359"/>
      <c r="W21" s="359"/>
      <c r="X21" s="359"/>
      <c r="Y21" s="359"/>
      <c r="Z21" s="359"/>
      <c r="AA21" s="359"/>
      <c r="AB21" s="360"/>
    </row>
    <row r="22" spans="1:28">
      <c r="A22" s="153"/>
      <c r="B22" s="155"/>
      <c r="C22" s="155"/>
      <c r="D22" s="155"/>
      <c r="E22" s="358"/>
      <c r="F22" s="359"/>
      <c r="G22" s="359"/>
      <c r="H22" s="359"/>
      <c r="I22" s="359"/>
      <c r="J22" s="359"/>
      <c r="K22" s="359"/>
      <c r="L22" s="359"/>
      <c r="M22" s="359"/>
      <c r="N22" s="359"/>
      <c r="O22" s="359"/>
      <c r="P22" s="359"/>
      <c r="Q22" s="359"/>
      <c r="R22" s="359"/>
      <c r="S22" s="359"/>
      <c r="T22" s="359"/>
      <c r="U22" s="359"/>
      <c r="V22" s="359"/>
      <c r="W22" s="359"/>
      <c r="X22" s="359"/>
      <c r="Y22" s="359"/>
      <c r="Z22" s="359"/>
      <c r="AA22" s="359"/>
      <c r="AB22" s="360"/>
    </row>
    <row r="23" spans="1:28">
      <c r="A23" s="153"/>
      <c r="B23" s="155"/>
      <c r="C23" s="155"/>
      <c r="D23" s="155"/>
      <c r="E23" s="358"/>
      <c r="F23" s="359"/>
      <c r="G23" s="359"/>
      <c r="H23" s="359"/>
      <c r="I23" s="359"/>
      <c r="J23" s="359"/>
      <c r="K23" s="359"/>
      <c r="L23" s="359"/>
      <c r="M23" s="359"/>
      <c r="N23" s="359"/>
      <c r="O23" s="359"/>
      <c r="P23" s="359"/>
      <c r="Q23" s="359"/>
      <c r="R23" s="359"/>
      <c r="S23" s="359"/>
      <c r="T23" s="359"/>
      <c r="U23" s="359"/>
      <c r="V23" s="359"/>
      <c r="W23" s="359"/>
      <c r="X23" s="359"/>
      <c r="Y23" s="359"/>
      <c r="Z23" s="359"/>
      <c r="AA23" s="359"/>
      <c r="AB23" s="360"/>
    </row>
    <row r="24" spans="1:28">
      <c r="A24" s="153"/>
      <c r="B24" s="155"/>
      <c r="C24" s="155"/>
      <c r="D24" s="155"/>
      <c r="E24" s="358"/>
      <c r="F24" s="359"/>
      <c r="G24" s="359"/>
      <c r="H24" s="359"/>
      <c r="I24" s="359"/>
      <c r="J24" s="359"/>
      <c r="K24" s="359"/>
      <c r="L24" s="359"/>
      <c r="M24" s="359"/>
      <c r="N24" s="359"/>
      <c r="O24" s="359"/>
      <c r="P24" s="359"/>
      <c r="Q24" s="359"/>
      <c r="R24" s="359"/>
      <c r="S24" s="359"/>
      <c r="T24" s="359"/>
      <c r="U24" s="359"/>
      <c r="V24" s="359"/>
      <c r="W24" s="359"/>
      <c r="X24" s="359"/>
      <c r="Y24" s="359"/>
      <c r="Z24" s="359"/>
      <c r="AA24" s="359"/>
      <c r="AB24" s="360"/>
    </row>
    <row r="25" spans="1:28">
      <c r="A25" s="153"/>
      <c r="B25" s="155"/>
      <c r="C25" s="155"/>
      <c r="D25" s="155"/>
      <c r="E25" s="358"/>
      <c r="F25" s="359"/>
      <c r="G25" s="359"/>
      <c r="H25" s="359"/>
      <c r="I25" s="359"/>
      <c r="J25" s="359"/>
      <c r="K25" s="359"/>
      <c r="L25" s="359"/>
      <c r="M25" s="359"/>
      <c r="N25" s="359"/>
      <c r="O25" s="359"/>
      <c r="P25" s="359"/>
      <c r="Q25" s="359"/>
      <c r="R25" s="359"/>
      <c r="S25" s="359"/>
      <c r="T25" s="359"/>
      <c r="U25" s="359"/>
      <c r="V25" s="359"/>
      <c r="W25" s="359"/>
      <c r="X25" s="359"/>
      <c r="Y25" s="359"/>
      <c r="Z25" s="359"/>
      <c r="AA25" s="359"/>
      <c r="AB25" s="360"/>
    </row>
    <row r="26" spans="1:28">
      <c r="A26" s="153"/>
      <c r="B26" s="155"/>
      <c r="C26" s="155"/>
      <c r="D26" s="155"/>
      <c r="E26" s="358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  <c r="R26" s="359"/>
      <c r="S26" s="359"/>
      <c r="T26" s="359"/>
      <c r="U26" s="359"/>
      <c r="V26" s="359"/>
      <c r="W26" s="359"/>
      <c r="X26" s="359"/>
      <c r="Y26" s="359"/>
      <c r="Z26" s="359"/>
      <c r="AA26" s="359"/>
      <c r="AB26" s="360"/>
    </row>
    <row r="27" spans="1:28">
      <c r="A27" s="153"/>
      <c r="B27" s="155"/>
      <c r="C27" s="155"/>
      <c r="D27" s="155"/>
      <c r="E27" s="358"/>
      <c r="F27" s="359"/>
      <c r="G27" s="359"/>
      <c r="H27" s="359"/>
      <c r="I27" s="359"/>
      <c r="J27" s="359"/>
      <c r="K27" s="359"/>
      <c r="L27" s="359"/>
      <c r="M27" s="359"/>
      <c r="N27" s="359"/>
      <c r="O27" s="359"/>
      <c r="P27" s="359"/>
      <c r="Q27" s="359"/>
      <c r="R27" s="359"/>
      <c r="S27" s="359"/>
      <c r="T27" s="359"/>
      <c r="U27" s="359"/>
      <c r="V27" s="359"/>
      <c r="W27" s="359"/>
      <c r="X27" s="359"/>
      <c r="Y27" s="359"/>
      <c r="Z27" s="359"/>
      <c r="AA27" s="359"/>
      <c r="AB27" s="360"/>
    </row>
    <row r="28" spans="1:28">
      <c r="A28" s="153"/>
      <c r="B28" s="155"/>
      <c r="C28" s="155"/>
      <c r="D28" s="155"/>
      <c r="E28" s="358"/>
      <c r="F28" s="359"/>
      <c r="G28" s="359"/>
      <c r="H28" s="359"/>
      <c r="I28" s="359"/>
      <c r="J28" s="359"/>
      <c r="K28" s="359"/>
      <c r="L28" s="359"/>
      <c r="M28" s="359"/>
      <c r="N28" s="359"/>
      <c r="O28" s="359"/>
      <c r="P28" s="359"/>
      <c r="Q28" s="359"/>
      <c r="R28" s="359"/>
      <c r="S28" s="359"/>
      <c r="T28" s="359"/>
      <c r="U28" s="359"/>
      <c r="V28" s="359"/>
      <c r="W28" s="359"/>
      <c r="X28" s="359"/>
      <c r="Y28" s="359"/>
      <c r="Z28" s="359"/>
      <c r="AA28" s="359"/>
      <c r="AB28" s="360"/>
    </row>
    <row r="29" spans="1:28">
      <c r="A29" s="153"/>
      <c r="B29" s="155"/>
      <c r="C29" s="155"/>
      <c r="D29" s="155"/>
      <c r="E29" s="358"/>
      <c r="F29" s="359"/>
      <c r="G29" s="359"/>
      <c r="H29" s="359"/>
      <c r="I29" s="359"/>
      <c r="J29" s="359"/>
      <c r="K29" s="359"/>
      <c r="L29" s="359"/>
      <c r="M29" s="359"/>
      <c r="N29" s="359"/>
      <c r="O29" s="359"/>
      <c r="P29" s="359"/>
      <c r="Q29" s="359"/>
      <c r="R29" s="359"/>
      <c r="S29" s="359"/>
      <c r="T29" s="359"/>
      <c r="U29" s="359"/>
      <c r="V29" s="359"/>
      <c r="W29" s="359"/>
      <c r="X29" s="359"/>
      <c r="Y29" s="359"/>
      <c r="Z29" s="359"/>
      <c r="AA29" s="359"/>
      <c r="AB29" s="360"/>
    </row>
    <row r="30" spans="1:28">
      <c r="A30" s="153"/>
      <c r="B30" s="155"/>
      <c r="C30" s="155"/>
      <c r="D30" s="155"/>
      <c r="E30" s="358"/>
      <c r="F30" s="359"/>
      <c r="G30" s="359"/>
      <c r="H30" s="359"/>
      <c r="I30" s="359"/>
      <c r="J30" s="359"/>
      <c r="K30" s="359"/>
      <c r="L30" s="359"/>
      <c r="M30" s="359"/>
      <c r="N30" s="359"/>
      <c r="O30" s="359"/>
      <c r="P30" s="359"/>
      <c r="Q30" s="359"/>
      <c r="R30" s="359"/>
      <c r="S30" s="359"/>
      <c r="T30" s="359"/>
      <c r="U30" s="359"/>
      <c r="V30" s="359"/>
      <c r="W30" s="359"/>
      <c r="X30" s="359"/>
      <c r="Y30" s="359"/>
      <c r="Z30" s="359"/>
      <c r="AA30" s="359"/>
      <c r="AB30" s="360"/>
    </row>
    <row r="31" spans="1:28">
      <c r="A31" s="153"/>
      <c r="B31" s="155"/>
      <c r="C31" s="155"/>
      <c r="D31" s="155"/>
      <c r="E31" s="358"/>
      <c r="F31" s="359"/>
      <c r="G31" s="359"/>
      <c r="H31" s="359"/>
      <c r="I31" s="359"/>
      <c r="J31" s="359"/>
      <c r="K31" s="359"/>
      <c r="L31" s="359"/>
      <c r="M31" s="359"/>
      <c r="N31" s="359"/>
      <c r="O31" s="359"/>
      <c r="P31" s="359"/>
      <c r="Q31" s="359"/>
      <c r="R31" s="359"/>
      <c r="S31" s="359"/>
      <c r="T31" s="359"/>
      <c r="U31" s="359"/>
      <c r="V31" s="359"/>
      <c r="W31" s="359"/>
      <c r="X31" s="359"/>
      <c r="Y31" s="359"/>
      <c r="Z31" s="359"/>
      <c r="AA31" s="359"/>
      <c r="AB31" s="360"/>
    </row>
    <row r="32" spans="1:28">
      <c r="A32" s="153"/>
      <c r="B32" s="155"/>
      <c r="C32" s="155"/>
      <c r="D32" s="155"/>
      <c r="E32" s="358"/>
      <c r="F32" s="359"/>
      <c r="G32" s="359"/>
      <c r="H32" s="359"/>
      <c r="I32" s="359"/>
      <c r="J32" s="359"/>
      <c r="K32" s="359"/>
      <c r="L32" s="359"/>
      <c r="M32" s="359"/>
      <c r="N32" s="359"/>
      <c r="O32" s="359"/>
      <c r="P32" s="359"/>
      <c r="Q32" s="359"/>
      <c r="R32" s="359"/>
      <c r="S32" s="359"/>
      <c r="T32" s="359"/>
      <c r="U32" s="359"/>
      <c r="V32" s="359"/>
      <c r="W32" s="359"/>
      <c r="X32" s="359"/>
      <c r="Y32" s="359"/>
      <c r="Z32" s="359"/>
      <c r="AA32" s="359"/>
      <c r="AB32" s="360"/>
    </row>
    <row r="33" spans="1:28">
      <c r="A33" s="153"/>
      <c r="B33" s="155"/>
      <c r="C33" s="155"/>
      <c r="D33" s="155"/>
      <c r="E33" s="358"/>
      <c r="F33" s="359"/>
      <c r="G33" s="359"/>
      <c r="H33" s="359"/>
      <c r="I33" s="359"/>
      <c r="J33" s="359"/>
      <c r="K33" s="359"/>
      <c r="L33" s="359"/>
      <c r="M33" s="359"/>
      <c r="N33" s="359"/>
      <c r="O33" s="359"/>
      <c r="P33" s="359"/>
      <c r="Q33" s="359"/>
      <c r="R33" s="359"/>
      <c r="S33" s="359"/>
      <c r="T33" s="359"/>
      <c r="U33" s="359"/>
      <c r="V33" s="359"/>
      <c r="W33" s="359"/>
      <c r="X33" s="359"/>
      <c r="Y33" s="359"/>
      <c r="Z33" s="359"/>
      <c r="AA33" s="359"/>
      <c r="AB33" s="360"/>
    </row>
    <row r="34" spans="1:28">
      <c r="A34" s="153"/>
      <c r="B34" s="155"/>
      <c r="C34" s="155"/>
      <c r="D34" s="155"/>
      <c r="E34" s="358"/>
      <c r="F34" s="359"/>
      <c r="G34" s="359"/>
      <c r="H34" s="359"/>
      <c r="I34" s="359"/>
      <c r="J34" s="359"/>
      <c r="K34" s="359"/>
      <c r="L34" s="359"/>
      <c r="M34" s="359"/>
      <c r="N34" s="359"/>
      <c r="O34" s="359"/>
      <c r="P34" s="359"/>
      <c r="Q34" s="359"/>
      <c r="R34" s="359"/>
      <c r="S34" s="359"/>
      <c r="T34" s="359"/>
      <c r="U34" s="359"/>
      <c r="V34" s="359"/>
      <c r="W34" s="359"/>
      <c r="X34" s="359"/>
      <c r="Y34" s="359"/>
      <c r="Z34" s="359"/>
      <c r="AA34" s="359"/>
      <c r="AB34" s="360"/>
    </row>
    <row r="35" spans="1:28">
      <c r="A35" s="153"/>
      <c r="B35" s="155"/>
      <c r="C35" s="155"/>
      <c r="D35" s="155"/>
      <c r="E35" s="358"/>
      <c r="F35" s="359"/>
      <c r="G35" s="359"/>
      <c r="H35" s="359"/>
      <c r="I35" s="359"/>
      <c r="J35" s="359"/>
      <c r="K35" s="359"/>
      <c r="L35" s="359"/>
      <c r="M35" s="359"/>
      <c r="N35" s="359"/>
      <c r="O35" s="359"/>
      <c r="P35" s="359"/>
      <c r="Q35" s="359"/>
      <c r="R35" s="359"/>
      <c r="S35" s="359"/>
      <c r="T35" s="359"/>
      <c r="U35" s="359"/>
      <c r="V35" s="359"/>
      <c r="W35" s="359"/>
      <c r="X35" s="359"/>
      <c r="Y35" s="359"/>
      <c r="Z35" s="359"/>
      <c r="AA35" s="359"/>
      <c r="AB35" s="360"/>
    </row>
    <row r="36" spans="1:28">
      <c r="A36" s="153"/>
      <c r="B36" s="155"/>
      <c r="C36" s="155"/>
      <c r="D36" s="155"/>
      <c r="E36" s="358"/>
      <c r="F36" s="359"/>
      <c r="G36" s="359"/>
      <c r="H36" s="359"/>
      <c r="I36" s="359"/>
      <c r="J36" s="359"/>
      <c r="K36" s="359"/>
      <c r="L36" s="359"/>
      <c r="M36" s="359"/>
      <c r="N36" s="359"/>
      <c r="O36" s="359"/>
      <c r="P36" s="359"/>
      <c r="Q36" s="359"/>
      <c r="R36" s="359"/>
      <c r="S36" s="359"/>
      <c r="T36" s="359"/>
      <c r="U36" s="359"/>
      <c r="V36" s="359"/>
      <c r="W36" s="359"/>
      <c r="X36" s="359"/>
      <c r="Y36" s="359"/>
      <c r="Z36" s="359"/>
      <c r="AA36" s="359"/>
      <c r="AB36" s="360"/>
    </row>
    <row r="37" spans="1:28">
      <c r="A37" s="153"/>
      <c r="B37" s="155"/>
      <c r="C37" s="155"/>
      <c r="D37" s="155"/>
      <c r="E37" s="358"/>
      <c r="F37" s="359"/>
      <c r="G37" s="359"/>
      <c r="H37" s="359"/>
      <c r="I37" s="359"/>
      <c r="J37" s="359"/>
      <c r="K37" s="359"/>
      <c r="L37" s="359"/>
      <c r="M37" s="359"/>
      <c r="N37" s="359"/>
      <c r="O37" s="359"/>
      <c r="P37" s="359"/>
      <c r="Q37" s="359"/>
      <c r="R37" s="359"/>
      <c r="S37" s="359"/>
      <c r="T37" s="359"/>
      <c r="U37" s="359"/>
      <c r="V37" s="359"/>
      <c r="W37" s="359"/>
      <c r="X37" s="359"/>
      <c r="Y37" s="359"/>
      <c r="Z37" s="359"/>
      <c r="AA37" s="359"/>
      <c r="AB37" s="360"/>
    </row>
    <row r="38" spans="1:28" ht="16.5" thickBot="1">
      <c r="A38" s="156"/>
      <c r="B38" s="157"/>
      <c r="C38" s="158"/>
      <c r="D38" s="157"/>
      <c r="E38" s="361"/>
      <c r="F38" s="362"/>
      <c r="G38" s="362"/>
      <c r="H38" s="362"/>
      <c r="I38" s="362"/>
      <c r="J38" s="362"/>
      <c r="K38" s="362"/>
      <c r="L38" s="362"/>
      <c r="M38" s="362"/>
      <c r="N38" s="362"/>
      <c r="O38" s="362"/>
      <c r="P38" s="362"/>
      <c r="Q38" s="362"/>
      <c r="R38" s="362"/>
      <c r="S38" s="362"/>
      <c r="T38" s="362"/>
      <c r="U38" s="362"/>
      <c r="V38" s="362"/>
      <c r="W38" s="362"/>
      <c r="X38" s="362"/>
      <c r="Y38" s="362"/>
      <c r="Z38" s="362"/>
      <c r="AA38" s="362"/>
      <c r="AB38" s="363"/>
    </row>
  </sheetData>
  <mergeCells count="38">
    <mergeCell ref="E6:AB6"/>
    <mergeCell ref="A3:C4"/>
    <mergeCell ref="E3:J3"/>
    <mergeCell ref="K3:AB3"/>
    <mergeCell ref="E4:J4"/>
    <mergeCell ref="K4:AB4"/>
    <mergeCell ref="E18:AB18"/>
    <mergeCell ref="E7:AB7"/>
    <mergeCell ref="E8:AB8"/>
    <mergeCell ref="E9:AB9"/>
    <mergeCell ref="E10:AB10"/>
    <mergeCell ref="E11:AB11"/>
    <mergeCell ref="E12:AB12"/>
    <mergeCell ref="E13:AB13"/>
    <mergeCell ref="E14:AB14"/>
    <mergeCell ref="E15:AB15"/>
    <mergeCell ref="E16:AB16"/>
    <mergeCell ref="E17:AB17"/>
    <mergeCell ref="E30:AB30"/>
    <mergeCell ref="E19:AB19"/>
    <mergeCell ref="E20:AB20"/>
    <mergeCell ref="E21:AB21"/>
    <mergeCell ref="E22:AB22"/>
    <mergeCell ref="E23:AB23"/>
    <mergeCell ref="E24:AB24"/>
    <mergeCell ref="E25:AB25"/>
    <mergeCell ref="E26:AB26"/>
    <mergeCell ref="E27:AB27"/>
    <mergeCell ref="E28:AB28"/>
    <mergeCell ref="E29:AB29"/>
    <mergeCell ref="E37:AB37"/>
    <mergeCell ref="E38:AB38"/>
    <mergeCell ref="E31:AB31"/>
    <mergeCell ref="E32:AB32"/>
    <mergeCell ref="E33:AB33"/>
    <mergeCell ref="E34:AB34"/>
    <mergeCell ref="E35:AB35"/>
    <mergeCell ref="E36:AB36"/>
  </mergeCells>
  <phoneticPr fontId="3"/>
  <pageMargins left="0.7" right="0.7" top="0.75" bottom="0.75" header="0.3" footer="0.3"/>
  <pageSetup paperSize="9" scale="54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641DF6C8BE6174C9931224F8E26AB2F" ma:contentTypeVersion="11" ma:contentTypeDescription="新しいドキュメントを作成します。" ma:contentTypeScope="" ma:versionID="4f7b4c9173aacaf31a37639a1b1ffe3f">
  <xsd:schema xmlns:xsd="http://www.w3.org/2001/XMLSchema" xmlns:xs="http://www.w3.org/2001/XMLSchema" xmlns:p="http://schemas.microsoft.com/office/2006/metadata/properties" xmlns:ns2="f4188c96-7968-4acb-9bbb-8a0b588810c8" xmlns:ns3="58483dbd-2ae0-44ca-a79c-ce6710d17dd8" targetNamespace="http://schemas.microsoft.com/office/2006/metadata/properties" ma:root="true" ma:fieldsID="33098d552a60958e038c93a748d04b51" ns2:_="" ns3:_="">
    <xsd:import namespace="f4188c96-7968-4acb-9bbb-8a0b588810c8"/>
    <xsd:import namespace="58483dbd-2ae0-44ca-a79c-ce6710d17d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88c96-7968-4acb-9bbb-8a0b588810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f741c3b-bdaf-46ab-bb9b-abf2ea42b0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483dbd-2ae0-44ca-a79c-ce6710d17dd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100e850-8ef3-4b54-b02d-5fb1b1289fc8}" ma:internalName="TaxCatchAll" ma:showField="CatchAllData" ma:web="58483dbd-2ae0-44ca-a79c-ce6710d17d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188c96-7968-4acb-9bbb-8a0b588810c8">
      <Terms xmlns="http://schemas.microsoft.com/office/infopath/2007/PartnerControls"/>
    </lcf76f155ced4ddcb4097134ff3c332f>
    <TaxCatchAll xmlns="58483dbd-2ae0-44ca-a79c-ce6710d17dd8" xsi:nil="true"/>
  </documentManagement>
</p:properties>
</file>

<file path=customXml/itemProps1.xml><?xml version="1.0" encoding="utf-8"?>
<ds:datastoreItem xmlns:ds="http://schemas.openxmlformats.org/officeDocument/2006/customXml" ds:itemID="{0FDCA42C-AF69-4335-8E38-6A39DD9649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188c96-7968-4acb-9bbb-8a0b588810c8"/>
    <ds:schemaRef ds:uri="58483dbd-2ae0-44ca-a79c-ce6710d17d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D86B49-B088-4C15-AD9D-4B118BB0FB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DF3A6D-4B05-4B71-90BD-505F22A2999D}">
  <ds:schemaRefs>
    <ds:schemaRef ds:uri="58483dbd-2ae0-44ca-a79c-ce6710d17dd8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dcmitype/"/>
    <ds:schemaRef ds:uri="f4188c96-7968-4acb-9bbb-8a0b588810c8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5</vt:i4>
      </vt:variant>
    </vt:vector>
  </HeadingPairs>
  <TitlesOfParts>
    <vt:vector size="13" baseType="lpstr">
      <vt:lpstr>表紙</vt:lpstr>
      <vt:lpstr>更新履歴</vt:lpstr>
      <vt:lpstr>バッチプロセスフロー</vt:lpstr>
      <vt:lpstr>バッチ処理概要定義書</vt:lpstr>
      <vt:lpstr>バッチ処理内容定義書</vt:lpstr>
      <vt:lpstr>データ項目更新仕様説明書</vt:lpstr>
      <vt:lpstr>入力項目チェック仕様説明書</vt:lpstr>
      <vt:lpstr>処理結果一覧</vt:lpstr>
      <vt:lpstr>バッチプロセスフロー!Print_Area</vt:lpstr>
      <vt:lpstr>バッチ処理概要定義書!Print_Area</vt:lpstr>
      <vt:lpstr>更新履歴!Print_Area</vt:lpstr>
      <vt:lpstr>表紙!Print_Area</vt:lpstr>
      <vt:lpstr>バッチ処理概要定義書!Print_Titles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戸谷 仁美</dc:creator>
  <cp:lastModifiedBy>廣田　万里子</cp:lastModifiedBy>
  <dcterms:created xsi:type="dcterms:W3CDTF">2015-06-05T18:19:34Z</dcterms:created>
  <dcterms:modified xsi:type="dcterms:W3CDTF">2026-10-27T02:43:30Z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0x0101002641DF6C8BE6174C9931224F8E26AB2F</vt:lpwstr>
  </property>
  <property fmtid="{D5CDD505-2E9C-101B-9397-08002B2CF9AE}" pid="3" name="MediaServiceImageTags">
    <vt:lpwstr/>
  </property>
</Properties>
</file>