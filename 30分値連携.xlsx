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e7e7b3a12843f3" /></Relationships>
</file>

<file path=xl/workbook.xml><?xml version="1.0" encoding="utf-8"?>
<x:workbook xmlns:x="http://schemas.openxmlformats.org/spreadsheetml/2006/main">
  <x:sheets>
    <x:sheet xmlns:r="http://schemas.openxmlformats.org/officeDocument/2006/relationships" name="単体テスト1ケース・結果一覧表" sheetId="1" r:id="R0fd81b9d23114018"/>
    <x:sheet xmlns:r="http://schemas.openxmlformats.org/officeDocument/2006/relationships" name="基本手順" sheetId="2" r:id="R78902ad6f997446c"/>
    <x:sheet xmlns:r="http://schemas.openxmlformats.org/officeDocument/2006/relationships" name="実施結果管理" sheetId="3" r:id="Rf188c8f9301a4923"/>
    <x:sheet xmlns:r="http://schemas.openxmlformats.org/officeDocument/2006/relationships" name="実施サマリー" sheetId="4" r:id="Re541634857914383"/>
    <x:sheet xmlns:r="http://schemas.openxmlformats.org/officeDocument/2006/relationships" name="テストデータ準備" sheetId="5" r:id="R26311435d4944900"/>
    <x:sheet xmlns:r="http://schemas.openxmlformats.org/officeDocument/2006/relationships" name="項目マッピング" sheetId="6" r:id="R19124879d58e43ce"/>
    <x:sheet xmlns:r="http://schemas.openxmlformats.org/officeDocument/2006/relationships" name="要確認事項" sheetId="7" r:id="R2c38e20394f5411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2">
    <x:font>
      <x:sz val="11"/>
      <x:name val="Carlito"/>
    </x:font>
    <x:font>
      <x:sz val="9"/>
      <x:color rgb="FF475569"/>
      <x:name val="Meiryo UI"/>
    </x:font>
    <x:font>
      <x:b/>
      <x:sz val="9"/>
      <x:color rgb="FF111827"/>
      <x:name val="Meiryo UI"/>
    </x:font>
    <x:font>
      <x:sz val="9"/>
      <x:name val="Meiryo UI"/>
    </x:font>
    <x:font>
      <x:b/>
      <x:sz val="15"/>
      <x:color rgb="FF111827"/>
      <x:name val="Meiryo UI"/>
    </x:font>
    <x:font>
      <x:sz val="9"/>
      <x:color rgb="FF111827"/>
      <x:name val="Meiryo UI"/>
    </x:font>
    <x:font>
      <x:b/>
      <x:sz val="10"/>
      <x:color rgb="FF111827"/>
      <x:name val="Meiryo UI"/>
    </x:font>
    <x:font>
      <x:b/>
      <x:sz val="10"/>
      <x:name val="Meiryo UI"/>
    </x:font>
    <x:font>
      <x:b/>
      <x:sz val="11"/>
      <x:name val="Carlito"/>
    </x:font>
    <x:font>
      <x:b/>
      <x:sz val="14"/>
      <x:color rgb="FF111827"/>
      <x:name val="Meiryo UI"/>
    </x:font>
    <x:font>
      <x:b/>
      <x:sz val="15"/>
      <x:name val="Carlito"/>
    </x:font>
    <x:font>
      <x:sz val="10"/>
      <x:name val="Meiryo UI"/>
    </x:font>
  </x:fonts>
  <x:fills count="7">
    <x:fill>
      <x:patternFill patternType="none"/>
    </x:fill>
    <x:fill>
      <x:patternFill patternType="gray125"/>
    </x:fill>
    <x:fill>
      <x:patternFill patternType="solid">
        <x:fgColor rgb="FFF2F4F7"/>
      </x:patternFill>
    </x:fill>
    <x:fill>
      <x:patternFill patternType="solid">
        <x:fgColor rgb="FFE6E8EC"/>
      </x:patternFill>
    </x:fill>
    <x:fill>
      <x:patternFill patternType="solid">
        <x:fgColor rgb="FFFAFBFD"/>
      </x:patternFill>
    </x:fill>
    <x:fill>
      <x:patternFill patternType="solid">
        <x:fgColor rgb="FFFFF4D6"/>
      </x:patternFill>
    </x:fill>
    <x:fill>
      <x:patternFill patternType="solid">
        <x:fgColor rgb="FFFFF8E6"/>
      </x:patternFill>
    </x:fill>
  </x:fills>
  <x:borders count="8">
    <x:border/>
    <x:border/>
    <x:border>
      <x:left style="thin">
        <x:color rgb="FFD1D5DB"/>
      </x:left>
      <x:right style="thin">
        <x:color rgb="FFD1D5DB"/>
      </x:right>
      <x:top style="thin">
        <x:color rgb="FFD1D5DB"/>
      </x:top>
      <x:bottom style="thin">
        <x:color rgb="FFD1D5DB"/>
      </x:bottom>
    </x:border>
    <x:border>
      <x:left style="thin">
        <x:color rgb="FFD1D5DB"/>
      </x:left>
      <x:right style="thin">
        <x:color rgb="FFD1D5DB"/>
      </x:right>
      <x:top style="thin">
        <x:color rgb="FFD1D5DB"/>
      </x:top>
      <x:bottom style="thin">
        <x:color rgb="FFD1D5DB"/>
      </x:bottom>
    </x:border>
    <x:border>
      <x:left style="thin">
        <x:color rgb="FF8D959F"/>
      </x:left>
      <x:right style="thin">
        <x:color rgb="FF8D959F"/>
      </x:right>
      <x:top style="thin">
        <x:color rgb="FF8D959F"/>
      </x:top>
      <x:bottom style="thin">
        <x:color rgb="FF8D959F"/>
      </x:bottom>
    </x:border>
    <x:border>
      <x:left style="thin">
        <x:color rgb="FF8D959F"/>
      </x:left>
      <x:right style="thin">
        <x:color rgb="FF8D959F"/>
      </x:right>
      <x:top style="thin">
        <x:color rgb="FF8D959F"/>
      </x:top>
      <x:bottom style="thin">
        <x:color rgb="FF8D959F"/>
      </x:bottom>
    </x:border>
    <x:border>
      <x:left style="thin">
        <x:color rgb="FFC5CBD2"/>
      </x:left>
      <x:right style="thin">
        <x:color rgb="FFC5CBD2"/>
      </x:right>
      <x:top style="thin">
        <x:color rgb="FFC5CBD2"/>
      </x:top>
      <x:bottom style="thin">
        <x:color rgb="FFC5CBD2"/>
      </x:bottom>
    </x:border>
    <x:border>
      <x:left style="thin">
        <x:color rgb="FFC5CBD2"/>
      </x:left>
      <x:right style="thin">
        <x:color rgb="FFC5CBD2"/>
      </x:right>
      <x:top style="thin">
        <x:color rgb="FFC5CBD2"/>
      </x:top>
      <x:bottom style="thin">
        <x:color rgb="FFC5CBD2"/>
      </x:bottom>
    </x:border>
  </x:borders>
  <x:cellStyleXfs count="1">
    <x:xf numFmtId="0" fontId="0" fillId="0" borderId="0"/>
  </x:cellStyleXfs>
  <x:cellXfs count="9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3" fillId="0" borderId="0" xfId="0" applyNumberFormat="1" applyFont="1" applyFill="1" applyBorder="1"/>
    <x:xf numFmtId="0" fontId="3" fillId="0" borderId="0" xfId="0" applyNumberFormat="1" applyFont="1" applyFill="1" applyBorder="1" applyAlignment="1">
      <x:alignment horizontal="right"/>
    </x:xf>
    <x:xf numFmtId="0" fontId="3" fillId="0" borderId="1" xfId="0" applyNumberFormat="1" applyFont="1" applyFill="1" applyBorder="1"/>
    <x:xf numFmtId="0" fontId="3" fillId="0" borderId="1" xfId="0" applyNumberFormat="1" applyFont="1" applyFill="1" applyBorder="1" applyAlignment="1">
      <x:alignment horizontal="right"/>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x:xf numFmtId="0" fontId="4" fillId="0" borderId="1" xfId="0" applyNumberFormat="1" applyFont="1" applyFill="1" applyBorder="1" applyAlignment="1">
      <x:alignment vertical="center"/>
    </x:xf>
    <x:xf numFmtId="0" fontId="3" fillId="0" borderId="2" xfId="0" applyNumberFormat="1" applyFont="1" applyFill="1" applyBorder="1"/>
    <x:xf numFmtId="0" fontId="3" fillId="0" borderId="3" xfId="0" applyNumberFormat="1" applyFont="1" applyFill="1" applyBorder="1"/>
    <x:xf numFmtId="0" fontId="0" fillId="2" borderId="0" xfId="0" applyNumberFormat="1" applyFont="1" applyFill="1" applyBorder="1"/>
    <x:xf numFmtId="0" fontId="5" fillId="2" borderId="0" xfId="0" applyNumberFormat="1" applyFont="1" applyFill="1" applyBorder="1"/>
    <x:xf numFmtId="0" fontId="5" fillId="2" borderId="2" xfId="0" applyNumberFormat="1" applyFont="1" applyFill="1" applyBorder="1"/>
    <x:xf numFmtId="0" fontId="5" fillId="2" borderId="2" xfId="0" applyNumberFormat="1" applyFont="1" applyFill="1" applyBorder="1" applyAlignment="1">
      <x:alignment horizontal="center"/>
    </x:xf>
    <x:xf numFmtId="0" fontId="5" fillId="2" borderId="2" xfId="0" applyNumberFormat="1" applyFont="1" applyFill="1" applyBorder="1" applyAlignment="1">
      <x:alignment horizontal="center" vertical="center"/>
    </x:xf>
    <x:xf numFmtId="0" fontId="0" fillId="2" borderId="1" xfId="0" applyNumberFormat="1" applyFont="1" applyFill="1" applyBorder="1"/>
    <x:xf numFmtId="0" fontId="5" fillId="2" borderId="1" xfId="0" applyNumberFormat="1" applyFont="1" applyFill="1" applyBorder="1"/>
    <x:xf numFmtId="0" fontId="5" fillId="2" borderId="3" xfId="0" applyNumberFormat="1" applyFont="1" applyFill="1" applyBorder="1"/>
    <x:xf numFmtId="0" fontId="5" fillId="2" borderId="3" xfId="0" applyNumberFormat="1" applyFont="1" applyFill="1" applyBorder="1" applyAlignment="1">
      <x:alignment horizontal="center"/>
    </x:xf>
    <x:xf numFmtId="0" fontId="5" fillId="2" borderId="3" xfId="0" applyNumberFormat="1" applyFont="1" applyFill="1" applyBorder="1" applyAlignment="1">
      <x:alignment horizontal="center" vertical="center"/>
    </x:xf>
    <x:xf numFmtId="0" fontId="0" fillId="3" borderId="0" xfId="0" applyNumberFormat="1" applyFont="1" applyFill="1" applyBorder="1"/>
    <x:xf numFmtId="0" fontId="6" fillId="3" borderId="0" xfId="0" applyNumberFormat="1" applyFont="1" applyFill="1" applyBorder="1"/>
    <x:xf numFmtId="0" fontId="6" fillId="3" borderId="4" xfId="0" applyNumberFormat="1" applyFont="1" applyFill="1" applyBorder="1"/>
    <x:xf numFmtId="0" fontId="6" fillId="3" borderId="4" xfId="0" applyNumberFormat="1" applyFont="1" applyFill="1" applyBorder="1" applyAlignment="1">
      <x:alignment wrapText="1"/>
    </x:xf>
    <x:xf numFmtId="0" fontId="6" fillId="3" borderId="4" xfId="0" applyNumberFormat="1" applyFont="1" applyFill="1" applyBorder="1" applyAlignment="1">
      <x:alignment horizontal="center" wrapText="1"/>
    </x:xf>
    <x:xf numFmtId="0" fontId="6" fillId="3" borderId="4" xfId="0" applyNumberFormat="1" applyFont="1" applyFill="1" applyBorder="1" applyAlignment="1">
      <x:alignment horizontal="center" vertical="center" wrapText="1"/>
    </x:xf>
    <x:xf numFmtId="0" fontId="0" fillId="3" borderId="1" xfId="0" applyNumberFormat="1" applyFont="1" applyFill="1" applyBorder="1"/>
    <x:xf numFmtId="0" fontId="6" fillId="3" borderId="1" xfId="0" applyNumberFormat="1" applyFont="1" applyFill="1" applyBorder="1"/>
    <x:xf numFmtId="0" fontId="6" fillId="3" borderId="5" xfId="0" applyNumberFormat="1" applyFont="1" applyFill="1" applyBorder="1"/>
    <x:xf numFmtId="0" fontId="6" fillId="3" borderId="5" xfId="0" applyNumberFormat="1" applyFont="1" applyFill="1" applyBorder="1" applyAlignment="1">
      <x:alignment wrapText="1"/>
    </x:xf>
    <x:xf numFmtId="0" fontId="6" fillId="3" borderId="5" xfId="0" applyNumberFormat="1" applyFont="1" applyFill="1" applyBorder="1" applyAlignment="1">
      <x:alignment horizontal="center" wrapText="1"/>
    </x:xf>
    <x:xf numFmtId="0" fontId="6" fillId="3" borderId="5" xfId="0" applyNumberFormat="1" applyFont="1" applyFill="1" applyBorder="1" applyAlignment="1">
      <x:alignment horizontal="center" vertical="center" wrapText="1"/>
    </x:xf>
    <x:xf numFmtId="0" fontId="5" fillId="0" borderId="0" xfId="0" applyNumberFormat="1" applyFont="1" applyFill="1" applyBorder="1"/>
    <x:xf numFmtId="0" fontId="5" fillId="0" borderId="6" xfId="0" applyNumberFormat="1" applyFont="1" applyFill="1" applyBorder="1"/>
    <x:xf numFmtId="0" fontId="5" fillId="0" borderId="6" xfId="0" applyNumberFormat="1" applyFont="1" applyFill="1" applyBorder="1" applyAlignment="1">
      <x:alignment wrapText="1"/>
    </x:xf>
    <x:xf numFmtId="0" fontId="5" fillId="0" borderId="6" xfId="0" applyNumberFormat="1" applyFont="1" applyFill="1" applyBorder="1" applyAlignment="1">
      <x:alignment vertical="top" wrapText="1"/>
    </x:xf>
    <x:xf numFmtId="0" fontId="5" fillId="0" borderId="1" xfId="0" applyNumberFormat="1" applyFont="1" applyFill="1" applyBorder="1"/>
    <x:xf numFmtId="0" fontId="5" fillId="0" borderId="7" xfId="0" applyNumberFormat="1" applyFont="1" applyFill="1" applyBorder="1"/>
    <x:xf numFmtId="0" fontId="5" fillId="0" borderId="7" xfId="0" applyNumberFormat="1" applyFont="1" applyFill="1" applyBorder="1" applyAlignment="1">
      <x:alignment wrapText="1"/>
    </x:xf>
    <x:xf numFmtId="0" fontId="5" fillId="0" borderId="7" xfId="0" applyNumberFormat="1" applyFont="1" applyFill="1" applyBorder="1" applyAlignment="1">
      <x:alignment vertical="top" wrapText="1"/>
    </x:xf>
    <x:xf numFmtId="0" fontId="5" fillId="0" borderId="6" xfId="0" applyNumberFormat="1" applyFont="1" applyFill="1" applyBorder="1" applyAlignment="1">
      <x:alignment horizontal="center" vertical="top" wrapText="1"/>
    </x:xf>
    <x:xf numFmtId="0" fontId="5" fillId="0" borderId="7" xfId="0" applyNumberFormat="1" applyFont="1" applyFill="1" applyBorder="1" applyAlignment="1">
      <x:alignment horizontal="center" vertical="top" wrapText="1"/>
    </x:xf>
    <x:xf numFmtId="200" fontId="5" fillId="0" borderId="6" xfId="0" applyNumberFormat="1" applyFont="1" applyFill="1" applyBorder="1" applyAlignment="1">
      <x:alignment horizontal="center" vertical="top" wrapText="1"/>
    </x:xf>
    <x:xf numFmtId="200" fontId="5" fillId="0" borderId="7" xfId="0" applyNumberFormat="1" applyFont="1" applyFill="1" applyBorder="1" applyAlignment="1">
      <x:alignment horizontal="center" vertical="top" wrapText="1"/>
    </x:xf>
    <x:xf numFmtId="0" fontId="5" fillId="4" borderId="6" xfId="0" applyNumberFormat="1" applyFont="1" applyFill="1" applyBorder="1" applyAlignment="1">
      <x:alignment horizontal="center" vertical="top" wrapText="1"/>
    </x:xf>
    <x:xf numFmtId="0" fontId="5" fillId="4" borderId="6" xfId="0" applyNumberFormat="1" applyFont="1" applyFill="1" applyBorder="1" applyAlignment="1">
      <x:alignment vertical="top" wrapText="1"/>
    </x:xf>
    <x:xf numFmtId="200" fontId="5" fillId="4" borderId="6" xfId="0" applyNumberFormat="1" applyFont="1" applyFill="1" applyBorder="1" applyAlignment="1">
      <x:alignment horizontal="center" vertical="top" wrapText="1"/>
    </x:xf>
    <x:xf numFmtId="0" fontId="5" fillId="4" borderId="7" xfId="0" applyNumberFormat="1" applyFont="1" applyFill="1" applyBorder="1" applyAlignment="1">
      <x:alignment horizontal="center" vertical="top" wrapText="1"/>
    </x:xf>
    <x:xf numFmtId="0" fontId="5" fillId="4" borderId="7" xfId="0" applyNumberFormat="1" applyFont="1" applyFill="1" applyBorder="1" applyAlignment="1">
      <x:alignment vertical="top" wrapText="1"/>
    </x:xf>
    <x:xf numFmtId="200" fontId="5" fillId="4" borderId="7" xfId="0" applyNumberFormat="1" applyFont="1" applyFill="1" applyBorder="1" applyAlignment="1">
      <x:alignment horizontal="center" vertical="top" wrapText="1"/>
    </x:xf>
    <x:xf numFmtId="0" fontId="5" fillId="5" borderId="6"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7" fillId="3" borderId="0" xfId="0" applyNumberFormat="1" applyFont="1" applyFill="1" applyBorder="1"/>
    <x:xf numFmtId="0" fontId="7" fillId="3" borderId="4" xfId="0" applyNumberFormat="1" applyFont="1" applyFill="1" applyBorder="1"/>
    <x:xf numFmtId="0" fontId="7" fillId="3" borderId="1" xfId="0" applyNumberFormat="1" applyFont="1" applyFill="1" applyBorder="1"/>
    <x:xf numFmtId="0" fontId="7" fillId="3" borderId="5" xfId="0" applyNumberFormat="1" applyFont="1" applyFill="1" applyBorder="1"/>
    <x:xf numFmtId="0" fontId="8" fillId="3" borderId="0" xfId="0" applyNumberFormat="1" applyFont="1" applyFill="1" applyBorder="1"/>
    <x:xf numFmtId="0" fontId="8" fillId="3" borderId="2" xfId="0" applyNumberFormat="1" applyFont="1" applyFill="1" applyBorder="1"/>
    <x:xf numFmtId="0" fontId="8" fillId="3" borderId="1" xfId="0" applyNumberFormat="1" applyFont="1" applyFill="1" applyBorder="1"/>
    <x:xf numFmtId="0" fontId="8" fillId="3" borderId="3" xfId="0" applyNumberFormat="1" applyFont="1" applyFill="1" applyBorder="1"/>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x:xf numFmtId="0" fontId="0" fillId="0" borderId="3" xfId="0" applyNumberFormat="1" applyFont="1" applyFill="1" applyBorder="1" applyAlignment="1">
      <x:alignment wrapText="1"/>
    </x:xf>
    <x:xf numFmtId="0" fontId="0" fillId="0" borderId="3" xfId="0" applyNumberFormat="1" applyFont="1" applyFill="1" applyBorder="1" applyAlignment="1">
      <x:alignment vertical="top" wrapText="1"/>
    </x:xf>
    <x:xf numFmtId="0" fontId="7" fillId="3" borderId="2" xfId="0" applyNumberFormat="1" applyFont="1" applyFill="1" applyBorder="1"/>
    <x:xf numFmtId="0" fontId="7" fillId="3" borderId="2" xfId="0" applyNumberFormat="1" applyFont="1" applyFill="1" applyBorder="1" applyAlignment="1">
      <x:alignment wrapText="1"/>
    </x:xf>
    <x:xf numFmtId="0" fontId="7" fillId="3" borderId="3" xfId="0" applyNumberFormat="1" applyFont="1" applyFill="1" applyBorder="1"/>
    <x:xf numFmtId="0" fontId="7" fillId="3" borderId="3"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6" borderId="2" xfId="0" applyNumberFormat="1" applyFont="1" applyFill="1" applyBorder="1" applyAlignment="1">
      <x:alignment vertical="top" wrapText="1"/>
    </x:xf>
    <x:xf numFmtId="0" fontId="3" fillId="6" borderId="3" xfId="0" applyNumberFormat="1" applyFont="1" applyFill="1" applyBorder="1" applyAlignment="1">
      <x:alignment vertical="top" wrapText="1"/>
    </x:xf>
    <x:xf numFmtId="201" fontId="3" fillId="6" borderId="2" xfId="0" applyNumberFormat="1" applyFont="1" applyFill="1" applyBorder="1" applyAlignment="1">
      <x:alignment vertical="top" wrapText="1"/>
    </x:xf>
    <x:xf numFmtId="201" fontId="3" fillId="6" borderId="3" xfId="0" applyNumberFormat="1" applyFont="1" applyFill="1" applyBorder="1" applyAlignment="1">
      <x:alignment vertical="top" wrapText="1"/>
    </x:xf>
    <x:xf numFmtId="0" fontId="9" fillId="3" borderId="0" xfId="0" applyNumberFormat="1" applyFont="1" applyFill="1" applyBorder="1"/>
    <x:xf numFmtId="0" fontId="9" fillId="3" borderId="1" xfId="0" applyNumberFormat="1" applyFont="1" applyFill="1" applyBorder="1"/>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10" fillId="2" borderId="0" xfId="0" applyNumberFormat="1" applyFont="1" applyFill="1" applyBorder="1"/>
    <x:xf numFmtId="0" fontId="10" fillId="2" borderId="1" xfId="0" applyNumberFormat="1" applyFont="1" applyFill="1" applyBorder="1"/>
    <x:xf numFmtId="0" fontId="11" fillId="0" borderId="0" xfId="0" applyNumberFormat="1" applyFont="1" applyFill="1" applyBorder="1"/>
    <x:xf numFmtId="0" fontId="11" fillId="0" borderId="2" xfId="0" applyNumberFormat="1" applyFont="1" applyFill="1" applyBorder="1"/>
    <x:xf numFmtId="0" fontId="11" fillId="0" borderId="1" xfId="0" applyNumberFormat="1" applyFont="1" applyFill="1" applyBorder="1"/>
    <x:xf numFmtId="0" fontId="11" fillId="0" borderId="3" xfId="0" applyNumberFormat="1" applyFont="1" applyFill="1" applyBorder="1"/>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b9a28cb08a4bc2" /><Relationship Type="http://schemas.openxmlformats.org/officeDocument/2006/relationships/theme" Target="/xl/theme/theme1.xml" Id="Re1fb385f485e499a" /><Relationship Type="http://schemas.openxmlformats.org/officeDocument/2006/relationships/sharedStrings" Target="/xl/sharedStrings.xml" Id="Rf2f9ad50bc3a4cad" /><Relationship Type="http://schemas.openxmlformats.org/officeDocument/2006/relationships/worksheet" Target="/xl/worksheets/sheet1.xml" Id="R0fd81b9d23114018" /><Relationship Type="http://schemas.openxmlformats.org/officeDocument/2006/relationships/worksheet" Target="/xl/worksheets/sheet2.xml" Id="R78902ad6f997446c" /><Relationship Type="http://schemas.openxmlformats.org/officeDocument/2006/relationships/worksheet" Target="/xl/worksheets/sheet3.xml" Id="Rf188c8f9301a4923" /><Relationship Type="http://schemas.openxmlformats.org/officeDocument/2006/relationships/worksheet" Target="/xl/worksheets/sheet4.xml" Id="Re541634857914383" /><Relationship Type="http://schemas.openxmlformats.org/officeDocument/2006/relationships/worksheet" Target="/xl/worksheets/sheet5.xml" Id="R26311435d4944900" /><Relationship Type="http://schemas.openxmlformats.org/officeDocument/2006/relationships/worksheet" Target="/xl/worksheets/sheet6.xml" Id="R19124879d58e43ce" /><Relationship Type="http://schemas.openxmlformats.org/officeDocument/2006/relationships/worksheet" Target="/xl/worksheets/sheet7.xml" Id="R2c38e20394f541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5" hidden="0" customWidth="1"/>
    <x:col min="2" max="2" width="28" hidden="0" customWidth="1"/>
    <x:col min="3" max="3" width="30" hidden="0" customWidth="1"/>
    <x:col min="4" max="4" width="12" hidden="0" customWidth="1"/>
    <x:col min="5" max="5" width="15" hidden="0" customWidth="1"/>
    <x:col min="6" max="6" width="58" hidden="0" customWidth="1"/>
    <x:col min="7" max="7" width="33" hidden="0" customWidth="1"/>
    <x:col min="8" max="8" width="57" hidden="0" customWidth="1"/>
    <x:col min="9" max="9" width="40" hidden="0" customWidth="1"/>
  </x:cols>
  <x:sheetData>
    <x:row r="1" ht="19" customHeight="1">
      <x:c r="A1" s="2" t="str">
        <x:v>秘密情報　目的外使用・開示禁止　東京電力ホールディングス株式会社</x:v>
      </x:c>
      <x:c r="B1" s="2"/>
      <x:c r="C1" s="2"/>
    </x:row>
    <x:row r="2">
      <x:c r="E2" s="5" t="str">
        <x:v>2026.10.14</x:v>
      </x:c>
    </x:row>
    <x:row r="3">
      <x:c r="H3" s="9" t="str">
        <x:v>システム：CNLレポート作成アプリ「LecMoc」</x:v>
      </x:c>
      <x:c r="I3" s="9"/>
    </x:row>
    <x:row r="4" ht="37" customHeight="1">
      <x:c r="A4" s="13" t="str">
        <x:v>単体テスト1ケース・結果一覧表</x:v>
      </x:c>
      <x:c r="B4" s="13"/>
      <x:c r="C4" s="13"/>
      <x:c r="D4" s="13"/>
      <x:c r="E4" s="13"/>
      <x:c r="F4" s="13"/>
      <x:c r="G4" s="13"/>
      <x:c r="H4" s="16" t="str">
        <x:v>フォーマットNo.</x:v>
      </x:c>
      <x:c r="I4" s="16" t="str">
        <x:v>PG2-1-01</x:v>
      </x:c>
    </x:row>
    <x:row r="5" ht="27" customHeight="1">
      <x:c r="A5" s="22" t="str">
        <x:v>テスト対象クラス</x:v>
      </x:c>
      <x:c r="B5" s="22"/>
      <x:c r="C5" s="22" t="str">
        <x:v>30分値取込バッチ（顧客情報と30分値データの連携機能）</x:v>
      </x:c>
      <x:c r="D5" s="22"/>
      <x:c r="E5" s="22" t="str">
        <x:v>備　考</x:v>
      </x:c>
      <x:c r="F5" s="22"/>
      <x:c r="G5" s="22"/>
      <x:c r="H5" s="22" t="str">
        <x:v>全112ケース／実施結果は別シートで管理</x:v>
      </x:c>
      <x:c r="I5" s="22"/>
    </x:row>
    <x:row r="6" ht="34" customHeight="1">
      <x:c r="A6" s="33" t="str">
        <x:v>ケース番号</x:v>
      </x:c>
      <x:c r="B6" s="33" t="str">
        <x:v>テスト分類</x:v>
      </x:c>
      <x:c r="C6" s="33" t="str">
        <x:v>テスト内容</x:v>
      </x:c>
      <x:c r="D6" s="33" t="str">
        <x:v>ケース数</x:v>
      </x:c>
      <x:c r="E6" s="33" t="str">
        <x:v>正常／異常</x:v>
      </x:c>
      <x:c r="F6" s="33" t="str">
        <x:v>テスト手順</x:v>
      </x:c>
      <x:c r="G6" s="33" t="str">
        <x:v>エビデンス取得対象</x:v>
      </x:c>
      <x:c r="H6" s="33" t="str">
        <x:v>予想結果</x:v>
      </x:c>
      <x:c r="I6" s="33" t="str">
        <x:v>備考</x:v>
      </x:c>
    </x:row>
    <x:row r="7" ht="66" customHeight="1">
      <x:c r="A7" s="48" t="str">
        <x:v>UT-001</x:v>
      </x:c>
      <x:c r="B7" s="43" t="str">
        <x:v>実行年月・対象年月
起動</x:v>
      </x:c>
      <x:c r="C7" s="43" t="str">
        <x:v>正常起動</x:v>
      </x:c>
      <x:c r="D7" s="50" t="n">
        <x:v>1</x:v>
      </x:c>
      <x:c r="E7" s="48" t="str">
        <x:v>正常</x:v>
      </x:c>
      <x:c r="F7" s="43" t="str">
        <x:v>バッチ呼出しに必要な設定・実行者を与えて起動する。</x:v>
      </x:c>
      <x:c r="G7" s="43" t="str">
        <x:v>バッチ開始ログ／処理結果</x:v>
      </x:c>
      <x:c r="H7" s="43" t="str">
        <x:v>バッチが正常に開始され、設定された実行者と年月を利用して後続処理に進む。</x:v>
      </x:c>
      <x:c r="I7" s="43" t="str">
        <x:v>テストデータ：TD-01</x:v>
      </x:c>
    </x:row>
    <x:row r="8" ht="66" customHeight="1">
      <x:c r="A8" s="52" t="str">
        <x:v>UT-002</x:v>
      </x:c>
      <x:c r="B8" s="53" t="str">
        <x:v>実行年月・対象年月
起動</x:v>
      </x:c>
      <x:c r="C8" s="53" t="str">
        <x:v>処理対象なしで起動</x:v>
      </x:c>
      <x:c r="D8" s="54" t="n">
        <x:v>1</x:v>
      </x:c>
      <x:c r="E8" s="52" t="str">
        <x:v>正常</x:v>
      </x:c>
      <x:c r="F8" s="53" t="str">
        <x:v>対象となる30分値取込管理データを0件とし実行する。</x:v>
      </x:c>
      <x:c r="G8" s="53" t="str">
        <x:v>終了ログ／DB差分</x:v>
      </x:c>
      <x:c r="H8" s="53" t="str">
        <x:v>登録・更新せず正常終了する。不要なエラーログが出力されない。</x:v>
      </x:c>
      <x:c r="I8" s="53" t="str">
        <x:v>テストデータ：TD-09</x:v>
      </x:c>
    </x:row>
    <x:row r="9" ht="66" customHeight="1">
      <x:c r="A9" s="48" t="str">
        <x:v>UT-003</x:v>
      </x:c>
      <x:c r="B9" s="43" t="str">
        <x:v>実行年月・対象年月
対象年月判定</x:v>
      </x:c>
      <x:c r="C9" s="43" t="str">
        <x:v>1日（下限）</x:v>
      </x:c>
      <x:c r="D9" s="50" t="n">
        <x:v>1</x:v>
      </x:c>
      <x:c r="E9" s="48" t="str">
        <x:v>正常</x:v>
      </x:c>
      <x:c r="F9" s="43" t="str">
        <x:v>システム日付を月初1日として実行する。</x:v>
      </x:c>
      <x:c r="G9" s="43" t="str">
        <x:v>対象年月確認ログ／SQL実行条件</x:v>
      </x:c>
      <x:c r="H9" s="43" t="str">
        <x:v>紐付け対象年月＝バッチ実行年月−3か月。</x:v>
      </x:c>
      <x:c r="I9" s="43" t="str">
        <x:v>テストデータ：TD-02</x:v>
      </x:c>
    </x:row>
    <x:row r="10" ht="66" customHeight="1">
      <x:c r="A10" s="52" t="str">
        <x:v>UT-004</x:v>
      </x:c>
      <x:c r="B10" s="53" t="str">
        <x:v>実行年月・対象年月
対象年月判定</x:v>
      </x:c>
      <x:c r="C10" s="53" t="str">
        <x:v>18日（境界前）</x:v>
      </x:c>
      <x:c r="D10" s="54" t="n">
        <x:v>1</x:v>
      </x:c>
      <x:c r="E10" s="52" t="str">
        <x:v>正常</x:v>
      </x:c>
      <x:c r="F10" s="53" t="str">
        <x:v>システム日付を18日として実行する。</x:v>
      </x:c>
      <x:c r="G10" s="53" t="str">
        <x:v>対象年月確認ログ／SQL実行条件</x:v>
      </x:c>
      <x:c r="H10" s="53" t="str">
        <x:v>紐付け対象年月＝バッチ実行年月−3か月。</x:v>
      </x:c>
      <x:c r="I10" s="53" t="str">
        <x:v>テストデータ：TD-03</x:v>
      </x:c>
    </x:row>
    <x:row r="11" ht="66" customHeight="1">
      <x:c r="A11" s="48" t="str">
        <x:v>UT-005</x:v>
      </x:c>
      <x:c r="B11" s="43" t="str">
        <x:v>実行年月・対象年月
対象年月判定</x:v>
      </x:c>
      <x:c r="C11" s="43" t="str">
        <x:v>19日（境界後）</x:v>
      </x:c>
      <x:c r="D11" s="50" t="n">
        <x:v>1</x:v>
      </x:c>
      <x:c r="E11" s="48" t="str">
        <x:v>正常</x:v>
      </x:c>
      <x:c r="F11" s="43" t="str">
        <x:v>システム日付を19日として実行する。</x:v>
      </x:c>
      <x:c r="G11" s="43" t="str">
        <x:v>対象年月確認ログ／SQL実行条件</x:v>
      </x:c>
      <x:c r="H11" s="43" t="str">
        <x:v>紐付け対象年月＝バッチ実行年月−2か月。</x:v>
      </x:c>
      <x:c r="I11" s="43" t="str">
        <x:v>テストデータ：TD-04</x:v>
      </x:c>
    </x:row>
    <x:row r="12" ht="66" customHeight="1">
      <x:c r="A12" s="52" t="str">
        <x:v>UT-006</x:v>
      </x:c>
      <x:c r="B12" s="53" t="str">
        <x:v>実行年月・対象年月
対象年月判定</x:v>
      </x:c>
      <x:c r="C12" s="53" t="str">
        <x:v>月末日（上限）</x:v>
      </x:c>
      <x:c r="D12" s="54" t="n">
        <x:v>1</x:v>
      </x:c>
      <x:c r="E12" s="52" t="str">
        <x:v>正常</x:v>
      </x:c>
      <x:c r="F12" s="53" t="str">
        <x:v>システム日付を月末日として実行する。</x:v>
      </x:c>
      <x:c r="G12" s="53" t="str">
        <x:v>対象年月確認ログ／SQL実行条件</x:v>
      </x:c>
      <x:c r="H12" s="53" t="str">
        <x:v>紐付け対象年月＝バッチ実行年月−2か月。</x:v>
      </x:c>
      <x:c r="I12" s="53" t="str">
        <x:v>テストデータ：TD-05</x:v>
      </x:c>
    </x:row>
    <x:row r="13" ht="66" customHeight="1">
      <x:c r="A13" s="48" t="str">
        <x:v>UT-007</x:v>
      </x:c>
      <x:c r="B13" s="43" t="str">
        <x:v>実行年月・対象年月
対象年月判定</x:v>
      </x:c>
      <x:c r="C13" s="43" t="str">
        <x:v>年またぎ（1月18日）</x:v>
      </x:c>
      <x:c r="D13" s="50" t="n">
        <x:v>1</x:v>
      </x:c>
      <x:c r="E13" s="48" t="str">
        <x:v>正常</x:v>
      </x:c>
      <x:c r="F13" s="43" t="str">
        <x:v>バッチ実行日を2026/01/18として年月算出処理を呼び出す。</x:v>
      </x:c>
      <x:c r="G13" s="43" t="str">
        <x:v>対象年月確認／DB照会</x:v>
      </x:c>
      <x:c r="H13" s="43" t="str">
        <x:v>紐付け対象年月は2025/10となり、対象テーブルへの抽出条件と一致する。</x:v>
      </x:c>
      <x:c r="I13" s="43" t="str">
        <x:v>テストデータ：TD-06</x:v>
      </x:c>
    </x:row>
    <x:row r="14" ht="66" customHeight="1">
      <x:c r="A14" s="52" t="str">
        <x:v>UT-008</x:v>
      </x:c>
      <x:c r="B14" s="53" t="str">
        <x:v>実行年月・対象年月
対象年月判定</x:v>
      </x:c>
      <x:c r="C14" s="53" t="str">
        <x:v>年またぎ（1月19日）</x:v>
      </x:c>
      <x:c r="D14" s="54" t="n">
        <x:v>1</x:v>
      </x:c>
      <x:c r="E14" s="52" t="str">
        <x:v>正常</x:v>
      </x:c>
      <x:c r="F14" s="53" t="str">
        <x:v>バッチ実行日を2026/01/19として年月算出処理を呼び出す。</x:v>
      </x:c>
      <x:c r="G14" s="53" t="str">
        <x:v>対象年月確認／DB照会</x:v>
      </x:c>
      <x:c r="H14" s="53" t="str">
        <x:v>紐付け対象年月は2025/11となり、対象テーブルへの抽出条件と一致する。</x:v>
      </x:c>
      <x:c r="I14" s="53" t="str">
        <x:v>テストデータ：TD-07</x:v>
      </x:c>
    </x:row>
    <x:row r="15" ht="66" customHeight="1">
      <x:c r="A15" s="48" t="str">
        <x:v>UT-009</x:v>
      </x:c>
      <x:c r="B15" s="43" t="str">
        <x:v>実行年月・対象年月
対象年月判定</x:v>
      </x:c>
      <x:c r="C15" s="43" t="str">
        <x:v>うるう年・月末</x:v>
      </x:c>
      <x:c r="D15" s="50" t="n">
        <x:v>1</x:v>
      </x:c>
      <x:c r="E15" s="48" t="str">
        <x:v>正常</x:v>
      </x:c>
      <x:c r="F15" s="43" t="str">
        <x:v>2028/02/29を固定日時として実行する。</x:v>
      </x:c>
      <x:c r="G15" s="43" t="str">
        <x:v>対象年月確認／DB照会</x:v>
      </x:c>
      <x:c r="H15" s="43" t="str">
        <x:v>月末日の判定と対象年月−2か月の算出が正しい。</x:v>
      </x:c>
      <x:c r="I15" s="43" t="str">
        <x:v>テストデータ：TD-08</x:v>
      </x:c>
    </x:row>
    <x:row r="16" ht="66" customHeight="1">
      <x:c r="A16" s="52" t="str">
        <x:v>UT-010</x:v>
      </x:c>
      <x:c r="B16" s="53" t="str">
        <x:v>実行年月・対象年月
実行設定</x:v>
      </x:c>
      <x:c r="C16" s="53" t="str">
        <x:v>実行者の設定</x:v>
      </x:c>
      <x:c r="D16" s="54" t="n">
        <x:v>1</x:v>
      </x:c>
      <x:c r="E16" s="52" t="str">
        <x:v>正常</x:v>
      </x:c>
      <x:c r="F16" s="53" t="str">
        <x:v>バッチ実行者に識別可能な文字列を設定して1件処理する。</x:v>
      </x:c>
      <x:c r="G16" s="53" t="str">
        <x:v>関連テーブルの作成者・更新者</x:v>
      </x:c>
      <x:c r="H16" s="53" t="str">
        <x:v>生データ・30分値取込管理の作成者／更新者に仕様上の実行者が設定される。</x:v>
      </x:c>
      <x:c r="I16" s="53" t="str">
        <x:v>テストデータ：TD-01</x:v>
      </x:c>
    </x:row>
    <x:row r="17" ht="66" customHeight="1">
      <x:c r="A17" s="48" t="str">
        <x:v>UT-011</x:v>
      </x:c>
      <x:c r="B17" s="43" t="str">
        <x:v>処理対象取得
抽出条件</x:v>
      </x:c>
      <x:c r="C17" s="43" t="str">
        <x:v>全条件一致（1件）</x:v>
      </x:c>
      <x:c r="D17" s="50" t="n">
        <x:v>1</x:v>
      </x:c>
      <x:c r="E17" s="48" t="str">
        <x:v>正常</x:v>
      </x:c>
      <x:c r="F17" s="43" t="str">
        <x:v>状態=3、対象年月一致、紐付け日時NULL、建物マスタ有効の1件を用意して取得する。</x:v>
      </x:c>
      <x:c r="G17" s="43" t="str">
        <x:v>SELECT結果／実行SQL</x:v>
      </x:c>
      <x:c r="H17" s="43" t="str">
        <x:v>対象の供給地点特定番号を1件取得する。</x:v>
      </x:c>
      <x:c r="I17" s="43" t="str">
        <x:v>テストデータ：TD-01</x:v>
      </x:c>
    </x:row>
    <x:row r="18" ht="66" customHeight="1">
      <x:c r="A18" s="52" t="str">
        <x:v>UT-012</x:v>
      </x:c>
      <x:c r="B18" s="53" t="str">
        <x:v>処理対象取得
抽出条件</x:v>
      </x:c>
      <x:c r="C18" s="53" t="str">
        <x:v>状態が3以外</x:v>
      </x:c>
      <x:c r="D18" s="54" t="n">
        <x:v>1</x:v>
      </x:c>
      <x:c r="E18" s="52" t="str">
        <x:v>正常</x:v>
      </x:c>
      <x:c r="F18" s="53" t="str">
        <x:v>状態を3以外（例:2）に変更して取得する。</x:v>
      </x:c>
      <x:c r="G18" s="53" t="str">
        <x:v>SELECT結果</x:v>
      </x:c>
      <x:c r="H18" s="53" t="str">
        <x:v>処理対象として抽出しない。</x:v>
      </x:c>
      <x:c r="I18" s="53" t="str">
        <x:v>テストデータ：TD-10</x:v>
      </x:c>
    </x:row>
    <x:row r="19" ht="66" customHeight="1">
      <x:c r="A19" s="48" t="str">
        <x:v>UT-013</x:v>
      </x:c>
      <x:c r="B19" s="43" t="str">
        <x:v>処理対象取得
抽出条件</x:v>
      </x:c>
      <x:c r="C19" s="43" t="str">
        <x:v>状態がNULL</x:v>
      </x:c>
      <x:c r="D19" s="50" t="n">
        <x:v>1</x:v>
      </x:c>
      <x:c r="E19" s="48" t="str">
        <x:v>正常</x:v>
      </x:c>
      <x:c r="F19" s="43" t="str">
        <x:v>状態をNULLとして取得する（DB制約が許可する場合）。</x:v>
      </x:c>
      <x:c r="G19" s="43" t="str">
        <x:v>SELECT結果</x:v>
      </x:c>
      <x:c r="H19" s="43" t="str">
        <x:v>処理対象として抽出しない。</x:v>
      </x:c>
      <x:c r="I19" s="43" t="str">
        <x:v>テストデータ：TD-11
NULL許容制約がある場合のみ実施</x:v>
      </x:c>
    </x:row>
    <x:row r="20" ht="66" customHeight="1">
      <x:c r="A20" s="52" t="str">
        <x:v>UT-014</x:v>
      </x:c>
      <x:c r="B20" s="53" t="str">
        <x:v>処理対象取得
抽出条件</x:v>
      </x:c>
      <x:c r="C20" s="53" t="str">
        <x:v>対象年月不一致</x:v>
      </x:c>
      <x:c r="D20" s="54" t="n">
        <x:v>1</x:v>
      </x:c>
      <x:c r="E20" s="52" t="str">
        <x:v>正常</x:v>
      </x:c>
      <x:c r="F20" s="53" t="str">
        <x:v>レポート作成対象年月を紐付け対象年月の前月／翌月に変更する。</x:v>
      </x:c>
      <x:c r="G20" s="53" t="str">
        <x:v>SELECT結果</x:v>
      </x:c>
      <x:c r="H20" s="53" t="str">
        <x:v>いずれも抽出しない。</x:v>
      </x:c>
      <x:c r="I20" s="53" t="str">
        <x:v>テストデータ：TD-12</x:v>
      </x:c>
    </x:row>
    <x:row r="21" ht="66" customHeight="1">
      <x:c r="A21" s="48" t="str">
        <x:v>UT-015</x:v>
      </x:c>
      <x:c r="B21" s="43" t="str">
        <x:v>処理対象取得
抽出条件</x:v>
      </x:c>
      <x:c r="C21" s="43" t="str">
        <x:v>紐付け日時あり</x:v>
      </x:c>
      <x:c r="D21" s="50" t="n">
        <x:v>1</x:v>
      </x:c>
      <x:c r="E21" s="48" t="str">
        <x:v>正常</x:v>
      </x:c>
      <x:c r="F21" s="43" t="str">
        <x:v>紐付け日時に既存日時が入った状態で取得する。</x:v>
      </x:c>
      <x:c r="G21" s="43" t="str">
        <x:v>SELECT結果</x:v>
      </x:c>
      <x:c r="H21" s="43" t="str">
        <x:v>再抽出されない。</x:v>
      </x:c>
      <x:c r="I21" s="43" t="str">
        <x:v>テストデータ：TD-13</x:v>
      </x:c>
    </x:row>
    <x:row r="22" ht="66" customHeight="1">
      <x:c r="A22" s="52" t="str">
        <x:v>UT-016</x:v>
      </x:c>
      <x:c r="B22" s="53" t="str">
        <x:v>処理対象取得
抽出条件</x:v>
      </x:c>
      <x:c r="C22" s="53" t="str">
        <x:v>紐付け日時空文字</x:v>
      </x:c>
      <x:c r="D22" s="54" t="n">
        <x:v>1</x:v>
      </x:c>
      <x:c r="E22" s="52" t="str">
        <x:v>正常</x:v>
      </x:c>
      <x:c r="F22" s="53" t="str">
        <x:v>紐付け日時に空文字を設定して取得する（列型で許容される場合）。</x:v>
      </x:c>
      <x:c r="G22" s="53" t="str">
        <x:v>SELECT結果</x:v>
      </x:c>
      <x:c r="H22" s="53" t="str">
        <x:v>NULLと空文字を区別し、IS NULL条件に合わなければ抽出しない。</x:v>
      </x:c>
      <x:c r="I22" s="53" t="str">
        <x:v>テストデータ：TD-14
日時列が空文字非許容なら実施対象外</x:v>
      </x:c>
    </x:row>
    <x:row r="23" ht="66" customHeight="1">
      <x:c r="A23" s="48" t="str">
        <x:v>UT-017</x:v>
      </x:c>
      <x:c r="B23" s="43" t="str">
        <x:v>処理対象取得
結合条件</x:v>
      </x:c>
      <x:c r="C23" s="43" t="str">
        <x:v>建物マスタの紐付けあり</x:v>
      </x:c>
      <x:c r="D23" s="50" t="n">
        <x:v>1</x:v>
      </x:c>
      <x:c r="E23" s="48" t="str">
        <x:v>正常</x:v>
      </x:c>
      <x:c r="F23" s="43" t="str">
        <x:v>30分値取込管理と建物マスタの供給地点特定番号を一致させる。</x:v>
      </x:c>
      <x:c r="G23" s="43" t="str">
        <x:v>SELECT結果／結合先レコード</x:v>
      </x:c>
      <x:c r="H23" s="43" t="str">
        <x:v>一致する建物マスタとINNER JOINされ、対象として取得する。</x:v>
      </x:c>
      <x:c r="I23" s="43" t="str">
        <x:v>テストデータ：TD-01</x:v>
      </x:c>
    </x:row>
    <x:row r="24" ht="66" customHeight="1">
      <x:c r="A24" s="52" t="str">
        <x:v>UT-018</x:v>
      </x:c>
      <x:c r="B24" s="53" t="str">
        <x:v>処理対象取得
結合条件</x:v>
      </x:c>
      <x:c r="C24" s="53" t="str">
        <x:v>建物マスタなし</x:v>
      </x:c>
      <x:c r="D24" s="54" t="n">
        <x:v>1</x:v>
      </x:c>
      <x:c r="E24" s="52" t="str">
        <x:v>正常</x:v>
      </x:c>
      <x:c r="F24" s="53" t="str">
        <x:v>管理データのみ用意し、対応する建物マスタを登録せず取得する。</x:v>
      </x:c>
      <x:c r="G24" s="53" t="str">
        <x:v>SELECT結果</x:v>
      </x:c>
      <x:c r="H24" s="53" t="str">
        <x:v>INNER JOINにより抽出されない。</x:v>
      </x:c>
      <x:c r="I24" s="53" t="str">
        <x:v>テストデータ：TD-15</x:v>
      </x:c>
    </x:row>
    <x:row r="25" ht="66" customHeight="1">
      <x:c r="A25" s="48" t="str">
        <x:v>UT-019</x:v>
      </x:c>
      <x:c r="B25" s="43" t="str">
        <x:v>処理対象取得
結合条件</x:v>
      </x:c>
      <x:c r="C25" s="43" t="str">
        <x:v>建物マスタ削除フラグTRUE</x:v>
      </x:c>
      <x:c r="D25" s="50" t="n">
        <x:v>1</x:v>
      </x:c>
      <x:c r="E25" s="48" t="str">
        <x:v>正常</x:v>
      </x:c>
      <x:c r="F25" s="43" t="str">
        <x:v>供給地点特定番号を一致させ、建物マスタ削除フラグをTRUEにする。</x:v>
      </x:c>
      <x:c r="G25" s="43" t="str">
        <x:v>SELECT結果</x:v>
      </x:c>
      <x:c r="H25" s="43" t="str">
        <x:v>削除フラグ=FALSE条件により抽出されない。</x:v>
      </x:c>
      <x:c r="I25" s="43" t="str">
        <x:v>テストデータ：TD-16</x:v>
      </x:c>
    </x:row>
    <x:row r="26" ht="66" customHeight="1">
      <x:c r="A26" s="52" t="str">
        <x:v>UT-020</x:v>
      </x:c>
      <x:c r="B26" s="53" t="str">
        <x:v>処理対象取得
結合条件</x:v>
      </x:c>
      <x:c r="C26" s="53" t="str">
        <x:v>建物マスタ削除フラグFALSE</x:v>
      </x:c>
      <x:c r="D26" s="54" t="n">
        <x:v>1</x:v>
      </x:c>
      <x:c r="E26" s="52" t="str">
        <x:v>正常</x:v>
      </x:c>
      <x:c r="F26" s="53" t="str">
        <x:v>供給地点特定番号を一致させ、削除フラグをFALSEにする。</x:v>
      </x:c>
      <x:c r="G26" s="53" t="str">
        <x:v>SELECT結果</x:v>
      </x:c>
      <x:c r="H26" s="53" t="str">
        <x:v>対象として抽出される。</x:v>
      </x:c>
      <x:c r="I26" s="53" t="str">
        <x:v>テストデータ：TD-01</x:v>
      </x:c>
    </x:row>
    <x:row r="27" ht="66" customHeight="1">
      <x:c r="A27" s="48" t="str">
        <x:v>UT-021</x:v>
      </x:c>
      <x:c r="B27" s="43" t="str">
        <x:v>処理対象取得
結合条件</x:v>
      </x:c>
      <x:c r="C27" s="43" t="str">
        <x:v>供給地点特定番号不一致</x:v>
      </x:c>
      <x:c r="D27" s="50" t="n">
        <x:v>1</x:v>
      </x:c>
      <x:c r="E27" s="48" t="str">
        <x:v>正常</x:v>
      </x:c>
      <x:c r="F27" s="43" t="str">
        <x:v>管理テーブルと建物マスタの供給地点特定番号を異なる値に設定する。</x:v>
      </x:c>
      <x:c r="G27" s="43" t="str">
        <x:v>SELECT結果</x:v>
      </x:c>
      <x:c r="H27" s="43" t="str">
        <x:v>誤った建物マスタを結合せず、抽出しない。</x:v>
      </x:c>
      <x:c r="I27" s="43" t="str">
        <x:v>テストデータ：TD-17</x:v>
      </x:c>
    </x:row>
    <x:row r="28" ht="66" customHeight="1">
      <x:c r="A28" s="52" t="str">
        <x:v>UT-022</x:v>
      </x:c>
      <x:c r="B28" s="53" t="str">
        <x:v>処理対象取得
件数制御</x:v>
      </x:c>
      <x:c r="C28" s="53" t="str">
        <x:v>処理対象0件</x:v>
      </x:c>
      <x:c r="D28" s="54" t="n">
        <x:v>1</x:v>
      </x:c>
      <x:c r="E28" s="52" t="str">
        <x:v>正常</x:v>
      </x:c>
      <x:c r="F28" s="53" t="str">
        <x:v>上記の抽出条件を満たす管理データを0件とする。</x:v>
      </x:c>
      <x:c r="G28" s="53" t="str">
        <x:v>SQL結果／終了ログ</x:v>
      </x:c>
      <x:c r="H28" s="53" t="str">
        <x:v>SELECT結果0件となりループを終了する。</x:v>
      </x:c>
      <x:c r="I28" s="53" t="str">
        <x:v>テストデータ：TD-09</x:v>
      </x:c>
    </x:row>
    <x:row r="29" ht="66" customHeight="1">
      <x:c r="A29" s="48" t="str">
        <x:v>UT-023</x:v>
      </x:c>
      <x:c r="B29" s="43" t="str">
        <x:v>処理対象取得
件数制御</x:v>
      </x:c>
      <x:c r="C29" s="43" t="str">
        <x:v>処理対象1件</x:v>
      </x:c>
      <x:c r="D29" s="50" t="n">
        <x:v>1</x:v>
      </x:c>
      <x:c r="E29" s="48" t="str">
        <x:v>正常</x:v>
      </x:c>
      <x:c r="F29" s="43" t="str">
        <x:v>抽出条件一致の管理データを1件とする。</x:v>
      </x:c>
      <x:c r="G29" s="43" t="str">
        <x:v>SELECT結果</x:v>
      </x:c>
      <x:c r="H29" s="43" t="str">
        <x:v>1件のみ返却される。</x:v>
      </x:c>
      <x:c r="I29" s="43" t="str">
        <x:v>テストデータ：TD-01</x:v>
      </x:c>
    </x:row>
    <x:row r="30" ht="66" customHeight="1">
      <x:c r="A30" s="52" t="str">
        <x:v>UT-024</x:v>
      </x:c>
      <x:c r="B30" s="53" t="str">
        <x:v>処理対象取得
件数制御</x:v>
      </x:c>
      <x:c r="C30" s="53" t="str">
        <x:v>処理対象999件</x:v>
      </x:c>
      <x:c r="D30" s="54" t="n">
        <x:v>1</x:v>
      </x:c>
      <x:c r="E30" s="52" t="str">
        <x:v>正常</x:v>
      </x:c>
      <x:c r="F30" s="53" t="str">
        <x:v>抽出条件一致の管理データを999件とする。</x:v>
      </x:c>
      <x:c r="G30" s="53" t="str">
        <x:v>SQL結果件数</x:v>
      </x:c>
      <x:c r="H30" s="53" t="str">
        <x:v>999件を取得する（他に対象がない場合）。</x:v>
      </x:c>
      <x:c r="I30" s="53" t="str">
        <x:v>テストデータ：TD-18</x:v>
      </x:c>
    </x:row>
    <x:row r="31" ht="66" customHeight="1">
      <x:c r="A31" s="48" t="str">
        <x:v>UT-025</x:v>
      </x:c>
      <x:c r="B31" s="43" t="str">
        <x:v>処理対象取得
件数制御</x:v>
      </x:c>
      <x:c r="C31" s="43" t="str">
        <x:v>処理対象1000件</x:v>
      </x:c>
      <x:c r="D31" s="50" t="n">
        <x:v>1</x:v>
      </x:c>
      <x:c r="E31" s="48" t="str">
        <x:v>正常</x:v>
      </x:c>
      <x:c r="F31" s="43" t="str">
        <x:v>抽出条件一致の管理データを1000件とする。</x:v>
      </x:c>
      <x:c r="G31" s="43" t="str">
        <x:v>SQL結果件数／処理件数</x:v>
      </x:c>
      <x:c r="H31" s="43" t="str">
        <x:v>1回の取得で1000件を超えない。1000件を処理できる。</x:v>
      </x:c>
      <x:c r="I31" s="43" t="str">
        <x:v>テストデータ：TD-19</x:v>
      </x:c>
    </x:row>
    <x:row r="32" ht="66" customHeight="1">
      <x:c r="A32" s="52" t="str">
        <x:v>UT-026</x:v>
      </x:c>
      <x:c r="B32" s="53" t="str">
        <x:v>処理対象取得
件数制御</x:v>
      </x:c>
      <x:c r="C32" s="53" t="str">
        <x:v>処理対象1001件</x:v>
      </x:c>
      <x:c r="D32" s="54" t="n">
        <x:v>1</x:v>
      </x:c>
      <x:c r="E32" s="52" t="str">
        <x:v>正常</x:v>
      </x:c>
      <x:c r="F32" s="53" t="str">
        <x:v>抽出条件一致の管理データを1001件とする。</x:v>
      </x:c>
      <x:c r="G32" s="53" t="str">
        <x:v>反復ごとの取得件数／DB結果</x:v>
      </x:c>
      <x:c r="H32" s="53" t="str">
        <x:v>1回の取得は最大1000件。残る1件は後続ループで処理される。</x:v>
      </x:c>
      <x:c r="I32" s="53" t="str">
        <x:v>テストデータ：TD-20</x:v>
      </x:c>
    </x:row>
    <x:row r="33" ht="66" customHeight="1">
      <x:c r="A33" s="48" t="str">
        <x:v>UT-027</x:v>
      </x:c>
      <x:c r="B33" s="43" t="str">
        <x:v>処理対象取得
件数制御</x:v>
      </x:c>
      <x:c r="C33" s="43" t="str">
        <x:v>処理対象2001件</x:v>
      </x:c>
      <x:c r="D33" s="50" t="n">
        <x:v>1</x:v>
      </x:c>
      <x:c r="E33" s="48" t="str">
        <x:v>正常</x:v>
      </x:c>
      <x:c r="F33" s="43" t="str">
        <x:v>抽出条件一致の管理データを2001件とする。</x:v>
      </x:c>
      <x:c r="G33" s="43" t="str">
        <x:v>反復ごとの取得件数／DB結果</x:v>
      </x:c>
      <x:c r="H33" s="43" t="str">
        <x:v>複数回取得して全2001件を処理し、最後は0件となって終了する。</x:v>
      </x:c>
      <x:c r="I33" s="43" t="str">
        <x:v>テストデータ：TD-21</x:v>
      </x:c>
    </x:row>
    <x:row r="34" ht="66" customHeight="1">
      <x:c r="A34" s="52" t="str">
        <x:v>UT-028</x:v>
      </x:c>
      <x:c r="B34" s="53" t="str">
        <x:v>連携元データ結合
建物マスタ</x:v>
      </x:c>
      <x:c r="C34" s="53" t="str">
        <x:v>有効建物の値反映</x:v>
      </x:c>
      <x:c r="D34" s="54" t="n">
        <x:v>1</x:v>
      </x:c>
      <x:c r="E34" s="52" t="str">
        <x:v>正常</x:v>
      </x:c>
      <x:c r="F34" s="53" t="str">
        <x:v>同一供給地点特定番号に対応する建物マスタの属性を設定し登録する。</x:v>
      </x:c>
      <x:c r="G34" s="53" t="str">
        <x:v>生データ照会／建物マスタ照合</x:v>
      </x:c>
      <x:c r="H34" s="53" t="str">
        <x:v>法人番号、同意書取得区分、組織ID、拠点ID、建物名、EPお客さま番号が正しい。</x:v>
      </x:c>
      <x:c r="I34" s="53" t="str">
        <x:v>テストデータ：TD-01</x:v>
      </x:c>
    </x:row>
    <x:row r="35" ht="66" customHeight="1">
      <x:c r="A35" s="48" t="str">
        <x:v>UT-029</x:v>
      </x:c>
      <x:c r="B35" s="43" t="str">
        <x:v>連携元データ結合
企業基本情報</x:v>
      </x:c>
      <x:c r="C35" s="43" t="str">
        <x:v>法人番号の一致</x:v>
      </x:c>
      <x:c r="D35" s="50" t="n">
        <x:v>1</x:v>
      </x:c>
      <x:c r="E35" s="48" t="str">
        <x:v>正常</x:v>
      </x:c>
      <x:c r="F35" s="43" t="str">
        <x:v>建物マスタの法人番号と企業基本情報マスタの法人番号を一致させる。</x:v>
      </x:c>
      <x:c r="G35" s="43" t="str">
        <x:v>生データ照会／企業マスタ照合</x:v>
      </x:c>
      <x:c r="H35" s="43" t="str">
        <x:v>企業基本情報マスタの企業名が「お客さま名」に反映される。</x:v>
      </x:c>
      <x:c r="I35" s="43" t="str">
        <x:v>テストデータ：TD-01</x:v>
      </x:c>
    </x:row>
    <x:row r="36" ht="66" customHeight="1">
      <x:c r="A36" s="52" t="str">
        <x:v>UT-030</x:v>
      </x:c>
      <x:c r="B36" s="53" t="str">
        <x:v>連携元データ結合
企業基本情報</x:v>
      </x:c>
      <x:c r="C36" s="53" t="str">
        <x:v>法人番号不一致</x:v>
      </x:c>
      <x:c r="D36" s="54" t="n">
        <x:v>1</x:v>
      </x:c>
      <x:c r="E36" s="52" t="str">
        <x:v>正常</x:v>
      </x:c>
      <x:c r="F36" s="53" t="str">
        <x:v>建物マスタに一致する法人番号の企業基本情報マスタを用意しない。</x:v>
      </x:c>
      <x:c r="G36" s="53" t="str">
        <x:v>DB照会／ログ</x:v>
      </x:c>
      <x:c r="H36" s="53" t="str">
        <x:v>仕様上の結合方式に従い、行除外／NULL設定／エラーを確認する。</x:v>
      </x:c>
      <x:c r="I36" s="58" t="str">
        <x:v>テストデータ：TD-22
要確認：企業基本情報マスタのJOIN種別</x:v>
      </x:c>
    </x:row>
    <x:row r="37" ht="66" customHeight="1">
      <x:c r="A37" s="48" t="str">
        <x:v>UT-031</x:v>
      </x:c>
      <x:c r="B37" s="43" t="str">
        <x:v>連携元データ結合
企業基本情報</x:v>
      </x:c>
      <x:c r="C37" s="43" t="str">
        <x:v>企業名変更</x:v>
      </x:c>
      <x:c r="D37" s="50" t="n">
        <x:v>1</x:v>
      </x:c>
      <x:c r="E37" s="48" t="str">
        <x:v>正常</x:v>
      </x:c>
      <x:c r="F37" s="43" t="str">
        <x:v>同じ法人番号の企業名を変更して再処理する。</x:v>
      </x:c>
      <x:c r="G37" s="43" t="str">
        <x:v>更新前後DB差分</x:v>
      </x:c>
      <x:c r="H37" s="43" t="str">
        <x:v>仕様に従い、更新対象の「お客さま名」が最新の企業名となる。</x:v>
      </x:c>
      <x:c r="I37" s="43" t="str">
        <x:v>テストデータ：TD-23</x:v>
      </x:c>
    </x:row>
    <x:row r="38" ht="66" customHeight="1">
      <x:c r="A38" s="52" t="str">
        <x:v>UT-032</x:v>
      </x:c>
      <x:c r="B38" s="53" t="str">
        <x:v>連携元データ結合
EP30分値</x:v>
      </x:c>
      <x:c r="C38" s="53" t="str">
        <x:v>供給地点特定番号一致</x:v>
      </x:c>
      <x:c r="D38" s="54" t="n">
        <x:v>1</x:v>
      </x:c>
      <x:c r="E38" s="52" t="str">
        <x:v>正常</x:v>
      </x:c>
      <x:c r="F38" s="53" t="str">
        <x:v>取込管理とEPデータ参照基盤30分値に同じ供給地点特定番号を設定する。</x:v>
      </x:c>
      <x:c r="G38" s="53" t="str">
        <x:v>EP元データ／生データ照会</x:v>
      </x:c>
      <x:c r="H38" s="53" t="str">
        <x:v>一致するEPデータのみ生データ登録の対象になる。</x:v>
      </x:c>
      <x:c r="I38" s="53" t="str">
        <x:v>テストデータ：TD-01</x:v>
      </x:c>
    </x:row>
    <x:row r="39" ht="66" customHeight="1">
      <x:c r="A39" s="48" t="str">
        <x:v>UT-033</x:v>
      </x:c>
      <x:c r="B39" s="43" t="str">
        <x:v>連携元データ結合
EP30分値</x:v>
      </x:c>
      <x:c r="C39" s="43" t="str">
        <x:v>供給地点特定番号不一致</x:v>
      </x:c>
      <x:c r="D39" s="50" t="n">
        <x:v>1</x:v>
      </x:c>
      <x:c r="E39" s="48" t="str">
        <x:v>正常</x:v>
      </x:c>
      <x:c r="F39" s="43" t="str">
        <x:v>EP側の供給地点特定番号を別の値にして実行する。</x:v>
      </x:c>
      <x:c r="G39" s="43" t="str">
        <x:v>EP元データ／生データ照会</x:v>
      </x:c>
      <x:c r="H39" s="43" t="str">
        <x:v>異なる地点の30分値が誤登録されない。</x:v>
      </x:c>
      <x:c r="I39" s="43" t="str">
        <x:v>テストデータ：TD-24</x:v>
      </x:c>
    </x:row>
    <x:row r="40" ht="66" customHeight="1">
      <x:c r="A40" s="52" t="str">
        <x:v>UT-034</x:v>
      </x:c>
      <x:c r="B40" s="53" t="str">
        <x:v>連携元データ結合
EP30分値</x:v>
      </x:c>
      <x:c r="C40" s="53" t="str">
        <x:v>取得年月日＝月初</x:v>
      </x:c>
      <x:c r="D40" s="54" t="n">
        <x:v>1</x:v>
      </x:c>
      <x:c r="E40" s="52" t="str">
        <x:v>正常</x:v>
      </x:c>
      <x:c r="F40" s="53" t="str">
        <x:v>レポート作成対象年月の1日のEPデータを用意する。</x:v>
      </x:c>
      <x:c r="G40" s="53" t="str">
        <x:v>取得年月日の照会結果</x:v>
      </x:c>
      <x:c r="H40" s="53" t="str">
        <x:v>BETWEEN条件に含まれ、月初日のデータが登録される。</x:v>
      </x:c>
      <x:c r="I40" s="53" t="str">
        <x:v>テストデータ：TD-25</x:v>
      </x:c>
    </x:row>
    <x:row r="41" ht="66" customHeight="1">
      <x:c r="A41" s="48" t="str">
        <x:v>UT-035</x:v>
      </x:c>
      <x:c r="B41" s="43" t="str">
        <x:v>連携元データ結合
EP30分値</x:v>
      </x:c>
      <x:c r="C41" s="43" t="str">
        <x:v>取得年月日＝月末</x:v>
      </x:c>
      <x:c r="D41" s="50" t="n">
        <x:v>1</x:v>
      </x:c>
      <x:c r="E41" s="48" t="str">
        <x:v>正常</x:v>
      </x:c>
      <x:c r="F41" s="43" t="str">
        <x:v>レポート作成対象年月の最終日のEPデータを用意する。</x:v>
      </x:c>
      <x:c r="G41" s="43" t="str">
        <x:v>取得年月日の照会結果</x:v>
      </x:c>
      <x:c r="H41" s="43" t="str">
        <x:v>BETWEEN条件に含まれ、月末日のデータが登録される。</x:v>
      </x:c>
      <x:c r="I41" s="43" t="str">
        <x:v>テストデータ：TD-26</x:v>
      </x:c>
    </x:row>
    <x:row r="42" ht="66" customHeight="1">
      <x:c r="A42" s="52" t="str">
        <x:v>UT-036</x:v>
      </x:c>
      <x:c r="B42" s="53" t="str">
        <x:v>連携元データ結合
EP30分値</x:v>
      </x:c>
      <x:c r="C42" s="53" t="str">
        <x:v>取得年月日＝前月末</x:v>
      </x:c>
      <x:c r="D42" s="54" t="n">
        <x:v>1</x:v>
      </x:c>
      <x:c r="E42" s="52" t="str">
        <x:v>正常</x:v>
      </x:c>
      <x:c r="F42" s="53" t="str">
        <x:v>対象月の前月末日のEPデータを用意する。</x:v>
      </x:c>
      <x:c r="G42" s="53" t="str">
        <x:v>取得年月日の照会結果</x:v>
      </x:c>
      <x:c r="H42" s="53" t="str">
        <x:v>対象年月外のため登録しない。</x:v>
      </x:c>
      <x:c r="I42" s="53" t="str">
        <x:v>テストデータ：TD-27</x:v>
      </x:c>
    </x:row>
    <x:row r="43" ht="66" customHeight="1">
      <x:c r="A43" s="48" t="str">
        <x:v>UT-037</x:v>
      </x:c>
      <x:c r="B43" s="43" t="str">
        <x:v>連携元データ結合
EP30分値</x:v>
      </x:c>
      <x:c r="C43" s="43" t="str">
        <x:v>取得年月日＝翌月初</x:v>
      </x:c>
      <x:c r="D43" s="50" t="n">
        <x:v>1</x:v>
      </x:c>
      <x:c r="E43" s="48" t="str">
        <x:v>正常</x:v>
      </x:c>
      <x:c r="F43" s="43" t="str">
        <x:v>対象月の翌月1日のEPデータを用意する。</x:v>
      </x:c>
      <x:c r="G43" s="43" t="str">
        <x:v>取得年月日の照会結果</x:v>
      </x:c>
      <x:c r="H43" s="43" t="str">
        <x:v>対象年月外のため登録しない。</x:v>
      </x:c>
      <x:c r="I43" s="43" t="str">
        <x:v>テストデータ：TD-28</x:v>
      </x:c>
    </x:row>
    <x:row r="44" ht="66" customHeight="1">
      <x:c r="A44" s="52" t="str">
        <x:v>UT-038</x:v>
      </x:c>
      <x:c r="B44" s="53" t="str">
        <x:v>連携元データ結合
EP30分値</x:v>
      </x:c>
      <x:c r="C44" s="53" t="str">
        <x:v>対象年月の複数日</x:v>
      </x:c>
      <x:c r="D44" s="54" t="n">
        <x:v>1</x:v>
      </x:c>
      <x:c r="E44" s="52" t="str">
        <x:v>正常</x:v>
      </x:c>
      <x:c r="F44" s="53" t="str">
        <x:v>同一供給地点で対象年月内の複数日（例:3日分）を用意する。</x:v>
      </x:c>
      <x:c r="G44" s="53" t="str">
        <x:v>日付別生データ件数・値</x:v>
      </x:c>
      <x:c r="H44" s="53" t="str">
        <x:v>対象日の生データが仕様上のユニークキー単位で登録・更新され、日付と値を取り違えない。</x:v>
      </x:c>
      <x:c r="I44" s="58" t="str">
        <x:v>テストデータ：TD-29
要確認：UPSERT競合キー</x:v>
      </x:c>
    </x:row>
    <x:row r="45" ht="66" customHeight="1">
      <x:c r="A45" s="48" t="str">
        <x:v>UT-039</x:v>
      </x:c>
      <x:c r="B45" s="43" t="str">
        <x:v>連携元データ結合
EP30分値</x:v>
      </x:c>
      <x:c r="C45" s="43" t="str">
        <x:v>該当するEPデータなし</x:v>
      </x:c>
      <x:c r="D45" s="50" t="n">
        <x:v>1</x:v>
      </x:c>
      <x:c r="E45" s="48" t="str">
        <x:v>正常</x:v>
      </x:c>
      <x:c r="F45" s="43" t="str">
        <x:v>30分値取込管理と建物マスタは存在させ、EPデータを用意しない。</x:v>
      </x:c>
      <x:c r="G45" s="43" t="str">
        <x:v>DB照会／ログ</x:v>
      </x:c>
      <x:c r="H45" s="43" t="str">
        <x:v>存在しないEPデータが作成されない。取込管理の扱いは結合仕様に従う。</x:v>
      </x:c>
      <x:c r="I45" s="58" t="str">
        <x:v>テストデータ：TD-30
要確認：元データなし時の完了・エラー扱い</x:v>
      </x:c>
    </x:row>
    <x:row r="46" ht="66" customHeight="1">
      <x:c r="A46" s="52" t="str">
        <x:v>UT-040</x:v>
      </x:c>
      <x:c r="B46" s="53" t="str">
        <x:v>連携元データ結合
ARVE顧客</x:v>
      </x:c>
      <x:c r="C46" s="53" t="str">
        <x:v>供給地点特定番号一致</x:v>
      </x:c>
      <x:c r="D46" s="54" t="n">
        <x:v>1</x:v>
      </x:c>
      <x:c r="E46" s="52" t="str">
        <x:v>正常</x:v>
      </x:c>
      <x:c r="F46" s="53" t="str">
        <x:v>ARVEお客さま情報を供給地点特定番号で対応付けて実行する。</x:v>
      </x:c>
      <x:c r="G46" s="53" t="str">
        <x:v>ARVE元データ／生データ照会</x:v>
      </x:c>
      <x:c r="H46" s="53" t="str">
        <x:v>正しいARVE顧客情報の企業ID・名称・お客さま番号が反映される。</x:v>
      </x:c>
      <x:c r="I46" s="53" t="str">
        <x:v>テストデータ：TD-01</x:v>
      </x:c>
    </x:row>
    <x:row r="47" ht="66" customHeight="1">
      <x:c r="A47" s="48" t="str">
        <x:v>UT-041</x:v>
      </x:c>
      <x:c r="B47" s="43" t="str">
        <x:v>連携元データ結合
ARVE顧客</x:v>
      </x:c>
      <x:c r="C47" s="43" t="str">
        <x:v>ARVE顧客データなし</x:v>
      </x:c>
      <x:c r="D47" s="50" t="n">
        <x:v>1</x:v>
      </x:c>
      <x:c r="E47" s="48" t="str">
        <x:v>正常</x:v>
      </x:c>
      <x:c r="F47" s="43" t="str">
        <x:v>一致するARVEお客さま情報を用意せず実行する。</x:v>
      </x:c>
      <x:c r="G47" s="43" t="str">
        <x:v>DB照会／ログ</x:v>
      </x:c>
      <x:c r="H47" s="43" t="str">
        <x:v>仕様で定めた結合方式どおりの結果となる（NULL、除外、エラー等）。</x:v>
      </x:c>
      <x:c r="I47" s="58" t="str">
        <x:v>テストデータ：TD-31
要確認：ARVE情報のJOIN種別</x:v>
      </x:c>
    </x:row>
    <x:row r="48" ht="66" customHeight="1">
      <x:c r="A48" s="52" t="str">
        <x:v>UT-042</x:v>
      </x:c>
      <x:c r="B48" s="53" t="str">
        <x:v>項目設定・データ変換
基本項目</x:v>
      </x:c>
      <x:c r="C48" s="53" t="str">
        <x:v>法人番号・同意書区分</x:v>
      </x:c>
      <x:c r="D48" s="54" t="n">
        <x:v>1</x:v>
      </x:c>
      <x:c r="E48" s="52" t="str">
        <x:v>正常</x:v>
      </x:c>
      <x:c r="F48" s="53" t="str">
        <x:v>建物マスタに各項目が異なる判別値を設定し1件登録する。</x:v>
      </x:c>
      <x:c r="G48" s="53" t="str">
        <x:v>更新後生データ／入力元照合</x:v>
      </x:c>
      <x:c r="H48" s="53" t="str">
        <x:v>生データの法人番号・同意書取得区分が建物マスタと一致する。</x:v>
      </x:c>
      <x:c r="I48" s="53" t="str">
        <x:v>テストデータ：TD-01</x:v>
      </x:c>
    </x:row>
    <x:row r="49" ht="66" customHeight="1">
      <x:c r="A49" s="48" t="str">
        <x:v>UT-043</x:v>
      </x:c>
      <x:c r="B49" s="43" t="str">
        <x:v>項目設定・データ変換
基本項目</x:v>
      </x:c>
      <x:c r="C49" s="43" t="str">
        <x:v>組織ID・拠点ID</x:v>
      </x:c>
      <x:c r="D49" s="50" t="n">
        <x:v>1</x:v>
      </x:c>
      <x:c r="E49" s="48" t="str">
        <x:v>正常</x:v>
      </x:c>
      <x:c r="F49" s="43" t="str">
        <x:v>建物マスタの組織ID・拠点IDを異なる識別値で登録する。</x:v>
      </x:c>
      <x:c r="G49" s="43" t="str">
        <x:v>更新後生データ／入力元照合</x:v>
      </x:c>
      <x:c r="H49" s="43" t="str">
        <x:v>生データの組織ID・拠点IDが正しく転記される。</x:v>
      </x:c>
      <x:c r="I49" s="43" t="str">
        <x:v>テストデータ：TD-01</x:v>
      </x:c>
    </x:row>
    <x:row r="50" ht="66" customHeight="1">
      <x:c r="A50" s="52" t="str">
        <x:v>UT-044</x:v>
      </x:c>
      <x:c r="B50" s="53" t="str">
        <x:v>項目設定・データ変換
基本項目</x:v>
      </x:c>
      <x:c r="C50" s="53" t="str">
        <x:v>お客さま名・建物名</x:v>
      </x:c>
      <x:c r="D50" s="54" t="n">
        <x:v>1</x:v>
      </x:c>
      <x:c r="E50" s="52" t="str">
        <x:v>正常</x:v>
      </x:c>
      <x:c r="F50" s="53" t="str">
        <x:v>企業基本情報マスタ企業名、建物マスタ拠点識別名を別々の文字列にする。</x:v>
      </x:c>
      <x:c r="G50" s="53" t="str">
        <x:v>更新後生データ／入力元照合</x:v>
      </x:c>
      <x:c r="H50" s="53" t="str">
        <x:v>お客さま名には企業名、建物名には拠点識別名を設定する。</x:v>
      </x:c>
      <x:c r="I50" s="53" t="str">
        <x:v>テストデータ：TD-01</x:v>
      </x:c>
    </x:row>
    <x:row r="51" ht="66" customHeight="1">
      <x:c r="A51" s="48" t="str">
        <x:v>UT-045</x:v>
      </x:c>
      <x:c r="B51" s="43" t="str">
        <x:v>項目設定・データ変換
基本項目</x:v>
      </x:c>
      <x:c r="C51" s="43" t="str">
        <x:v>EPお客さま番号</x:v>
      </x:c>
      <x:c r="D51" s="50" t="n">
        <x:v>1</x:v>
      </x:c>
      <x:c r="E51" s="48" t="str">
        <x:v>正常</x:v>
      </x:c>
      <x:c r="F51" s="43" t="str">
        <x:v>建物マスタに識別可能なEPお客さま番号を設定する。</x:v>
      </x:c>
      <x:c r="G51" s="43" t="str">
        <x:v>更新後生データ／入力元照合</x:v>
      </x:c>
      <x:c r="H51" s="43" t="str">
        <x:v>生データのEPお客さま番号に建物マスタ値を設定する。</x:v>
      </x:c>
      <x:c r="I51" s="43" t="str">
        <x:v>テストデータ：TD-01</x:v>
      </x:c>
    </x:row>
    <x:row r="52" ht="66" customHeight="1">
      <x:c r="A52" s="52" t="str">
        <x:v>UT-046</x:v>
      </x:c>
      <x:c r="B52" s="53" t="str">
        <x:v>項目設定・データ変換
基本項目</x:v>
      </x:c>
      <x:c r="C52" s="53" t="str">
        <x:v>供給地点特定番号</x:v>
      </x:c>
      <x:c r="D52" s="54" t="n">
        <x:v>1</x:v>
      </x:c>
      <x:c r="E52" s="52" t="str">
        <x:v>正常</x:v>
      </x:c>
      <x:c r="F52" s="53" t="str">
        <x:v>管理／EPデータに共通する供給地点特定番号を設定して登録する。</x:v>
      </x:c>
      <x:c r="G52" s="53" t="str">
        <x:v>更新後生データ／入力元照合</x:v>
      </x:c>
      <x:c r="H52" s="53" t="str">
        <x:v>対象地点の番号を正しく設定し別地点の番号と取り違えない。</x:v>
      </x:c>
      <x:c r="I52" s="53" t="str">
        <x:v>テストデータ：TD-01</x:v>
      </x:c>
    </x:row>
    <x:row r="53" ht="66" customHeight="1">
      <x:c r="A53" s="48" t="str">
        <x:v>UT-047</x:v>
      </x:c>
      <x:c r="B53" s="43" t="str">
        <x:v>項目設定・データ変換
ARVE変換</x:v>
      </x:c>
      <x:c r="C53" s="43" t="str">
        <x:v>企業ID</x:v>
      </x:c>
      <x:c r="D53" s="50" t="n">
        <x:v>1</x:v>
      </x:c>
      <x:c r="E53" s="48" t="str">
        <x:v>正常</x:v>
      </x:c>
      <x:c r="F53" s="43" t="str">
        <x:v>ARVEお客さま情報の企業IDを他のIDと区別できる値で用意する。</x:v>
      </x:c>
      <x:c r="G53" s="43" t="str">
        <x:v>更新後生データ／ARVE照合</x:v>
      </x:c>
      <x:c r="H53" s="43" t="str">
        <x:v>生データ企業IDがARVE企業IDと一致する。</x:v>
      </x:c>
      <x:c r="I53" s="43" t="str">
        <x:v>テストデータ：TD-01</x:v>
      </x:c>
    </x:row>
    <x:row r="54" ht="66" customHeight="1">
      <x:c r="A54" s="52" t="str">
        <x:v>UT-048</x:v>
      </x:c>
      <x:c r="B54" s="53" t="str">
        <x:v>項目設定・データ変換
ARVE変換</x:v>
      </x:c>
      <x:c r="C54" s="53" t="str">
        <x:v>ARVE連携お客さま名</x:v>
      </x:c>
      <x:c r="D54" s="54" t="n">
        <x:v>1</x:v>
      </x:c>
      <x:c r="E54" s="52" t="str">
        <x:v>正常</x:v>
      </x:c>
      <x:c r="F54" s="53" t="str">
        <x:v>契約場所_名義(姓)と契約場所_名義(名)に判別値を設定する。</x:v>
      </x:c>
      <x:c r="G54" s="53" t="str">
        <x:v>更新後生データ／元項目照合</x:v>
      </x:c>
      <x:c r="H54" s="53" t="str">
        <x:v>両値を仕様／SQLどおり連結した名称が設定される。</x:v>
      </x:c>
      <x:c r="I54" s="53" t="str">
        <x:v>テストデータ：TD-32</x:v>
      </x:c>
    </x:row>
    <x:row r="55" ht="66" customHeight="1">
      <x:c r="A55" s="48" t="str">
        <x:v>UT-049</x:v>
      </x:c>
      <x:c r="B55" s="43" t="str">
        <x:v>項目設定・データ変換
ARVE変換</x:v>
      </x:c>
      <x:c r="C55" s="43" t="str">
        <x:v>名称の片方が空</x:v>
      </x:c>
      <x:c r="D55" s="50" t="n">
        <x:v>1</x:v>
      </x:c>
      <x:c r="E55" s="48" t="str">
        <x:v>正常</x:v>
      </x:c>
      <x:c r="F55" s="43" t="str">
        <x:v>姓または名を空／NULLにしたARVEデータで変換する（許容時）。</x:v>
      </x:c>
      <x:c r="G55" s="43" t="str">
        <x:v>更新後生データ</x:v>
      </x:c>
      <x:c r="H55" s="43" t="str">
        <x:v>連結関数・DBのNULL/空文字処理に従い、意図しない「None」等を格納しない。</x:v>
      </x:c>
      <x:c r="I55" s="58" t="str">
        <x:v>テストデータ：TD-33
要確認：名称NULL・空文字の許容仕様</x:v>
      </x:c>
    </x:row>
    <x:row r="56" ht="66" customHeight="1">
      <x:c r="A56" s="52" t="str">
        <x:v>UT-050</x:v>
      </x:c>
      <x:c r="B56" s="53" t="str">
        <x:v>項目設定・データ変換
ARVE変換</x:v>
      </x:c>
      <x:c r="C56" s="53" t="str">
        <x:v>お客さま番号の分割（通常）</x:v>
      </x:c>
      <x:c r="D56" s="54" t="n">
        <x:v>1</x:v>
      </x:c>
      <x:c r="E56" s="52" t="str">
        <x:v>正常</x:v>
      </x:c>
      <x:c r="F56" s="53" t="str">
        <x:v>ARVEのEPお客さま番号を「ABC123456」にして登録する。</x:v>
      </x:c>
      <x:c r="G56" s="53" t="str">
        <x:v>生データ照会／元番号照合</x:v>
      </x:c>
      <x:c r="H56" s="53" t="str">
        <x:v>ARVE連携事業所コード＝「ABC」、ARVE連携お客さま番号＝「123456」。</x:v>
      </x:c>
      <x:c r="I56" s="53" t="str">
        <x:v>テストデータ：TD-34</x:v>
      </x:c>
    </x:row>
    <x:row r="57" ht="66" customHeight="1">
      <x:c r="A57" s="48" t="str">
        <x:v>UT-051</x:v>
      </x:c>
      <x:c r="B57" s="43" t="str">
        <x:v>項目設定・データ変換
ARVE変換</x:v>
      </x:c>
      <x:c r="C57" s="43" t="str">
        <x:v>お客さま番号長＝3</x:v>
      </x:c>
      <x:c r="D57" s="50" t="n">
        <x:v>1</x:v>
      </x:c>
      <x:c r="E57" s="48" t="str">
        <x:v>正常</x:v>
      </x:c>
      <x:c r="F57" s="43" t="str">
        <x:v>ARVEのEPお客さま番号を3文字にして登録する。</x:v>
      </x:c>
      <x:c r="G57" s="43" t="str">
        <x:v>生データ照会</x:v>
      </x:c>
      <x:c r="H57" s="43" t="str">
        <x:v>先頭3文字が事業所コード、4文字目以降は空文字になる。</x:v>
      </x:c>
      <x:c r="I57" s="58" t="str">
        <x:v>テストデータ：TD-35
要確認：最短桁数の入力バリデーション</x:v>
      </x:c>
    </x:row>
    <x:row r="58" ht="66" customHeight="1">
      <x:c r="A58" s="52" t="str">
        <x:v>UT-052</x:v>
      </x:c>
      <x:c r="B58" s="53" t="str">
        <x:v>項目設定・データ変換
ARVE変換</x:v>
      </x:c>
      <x:c r="C58" s="53" t="str">
        <x:v>お客さま番号長＜3</x:v>
      </x:c>
      <x:c r="D58" s="54" t="n">
        <x:v>1</x:v>
      </x:c>
      <x:c r="E58" s="52" t="str">
        <x:v>異常</x:v>
      </x:c>
      <x:c r="F58" s="53" t="str">
        <x:v>ARVEのEPお客さま番号を2文字にして登録する。</x:v>
      </x:c>
      <x:c r="G58" s="53" t="str">
        <x:v>生データ照会／ログ</x:v>
      </x:c>
      <x:c r="H58" s="53" t="str">
        <x:v>SQL LEFT/SUBSTRINGの結果に従う。異常終了有無は入力規約と突合する。</x:v>
      </x:c>
      <x:c r="I58" s="58" t="str">
        <x:v>テストデータ：TD-36
要確認：EPお客さま番号の桁数制約</x:v>
      </x:c>
    </x:row>
    <x:row r="59" ht="66" customHeight="1">
      <x:c r="A59" s="48" t="str">
        <x:v>UT-053</x:v>
      </x:c>
      <x:c r="B59" s="43" t="str">
        <x:v>項目設定・データ変換
件数変換</x:v>
      </x:c>
      <x:c r="C59" s="43" t="str">
        <x:v>欠測時間帯_件数（整数）</x:v>
      </x:c>
      <x:c r="D59" s="50" t="n">
        <x:v>1</x:v>
      </x:c>
      <x:c r="E59" s="48" t="str">
        <x:v>正常</x:v>
      </x:c>
      <x:c r="F59" s="43" t="str">
        <x:v>元EPデータの欠測時間帯_件数を数値文字列「12」として処理する。</x:v>
      </x:c>
      <x:c r="G59" s="43" t="str">
        <x:v>更新後DB型・値</x:v>
      </x:c>
      <x:c r="H59" s="43" t="str">
        <x:v>INTEGER CASTされ整数12として登録される。</x:v>
      </x:c>
      <x:c r="I59" s="43" t="str">
        <x:v>テストデータ：TD-37</x:v>
      </x:c>
    </x:row>
    <x:row r="60" ht="66" customHeight="1">
      <x:c r="A60" s="52" t="str">
        <x:v>UT-054</x:v>
      </x:c>
      <x:c r="B60" s="53" t="str">
        <x:v>項目設定・データ変換
件数変換</x:v>
      </x:c>
      <x:c r="C60" s="53" t="str">
        <x:v>不正値時間帯_件数（0）</x:v>
      </x:c>
      <x:c r="D60" s="54" t="n">
        <x:v>1</x:v>
      </x:c>
      <x:c r="E60" s="52" t="str">
        <x:v>正常</x:v>
      </x:c>
      <x:c r="F60" s="53" t="str">
        <x:v>不正値時間帯_件数に文字列「0」を設定する。</x:v>
      </x:c>
      <x:c r="G60" s="53" t="str">
        <x:v>更新後DB型・値</x:v>
      </x:c>
      <x:c r="H60" s="53" t="str">
        <x:v>INTEGER CASTされ整数0として登録される。</x:v>
      </x:c>
      <x:c r="I60" s="53" t="str">
        <x:v>テストデータ：TD-38</x:v>
      </x:c>
    </x:row>
    <x:row r="61" ht="66" customHeight="1">
      <x:c r="A61" s="48" t="str">
        <x:v>UT-055</x:v>
      </x:c>
      <x:c r="B61" s="43" t="str">
        <x:v>項目設定・データ変換
件数変換</x:v>
      </x:c>
      <x:c r="C61" s="43" t="str">
        <x:v>件数がNULL</x:v>
      </x:c>
      <x:c r="D61" s="50" t="n">
        <x:v>1</x:v>
      </x:c>
      <x:c r="E61" s="48" t="str">
        <x:v>正常</x:v>
      </x:c>
      <x:c r="F61" s="43" t="str">
        <x:v>欠測／不正値時間帯_件数の一方をNULLとして処理する。</x:v>
      </x:c>
      <x:c r="G61" s="43" t="str">
        <x:v>更新後DB型・値／ログ</x:v>
      </x:c>
      <x:c r="H61" s="43" t="str">
        <x:v>NULLのCAST結果・保存結果が仕様／DB列制約と整合する。</x:v>
      </x:c>
      <x:c r="I61" s="58" t="str">
        <x:v>テストデータ：TD-39
要確認：NULL許容制約</x:v>
      </x:c>
    </x:row>
    <x:row r="62" ht="66" customHeight="1">
      <x:c r="A62" s="52" t="str">
        <x:v>UT-056</x:v>
      </x:c>
      <x:c r="B62" s="53" t="str">
        <x:v>項目設定・データ変換
件数変換</x:v>
      </x:c>
      <x:c r="C62" s="53" t="str">
        <x:v>件数が数値以外</x:v>
      </x:c>
      <x:c r="D62" s="54" t="n">
        <x:v>1</x:v>
      </x:c>
      <x:c r="E62" s="52" t="str">
        <x:v>異常</x:v>
      </x:c>
      <x:c r="F62" s="53" t="str">
        <x:v>欠測時間帯_件数に「abc」を設定して実行する。</x:v>
      </x:c>
      <x:c r="G62" s="53" t="str">
        <x:v>エラーログ／DB差分</x:v>
      </x:c>
      <x:c r="H62" s="53" t="str">
        <x:v>INTEGER CAST失敗時にDB更新が中途半端にならず、エラー記録される。</x:v>
      </x:c>
      <x:c r="I62" s="53" t="str">
        <x:v>テストデータ：TD-40</x:v>
      </x:c>
    </x:row>
    <x:row r="63" ht="66" customHeight="1">
      <x:c r="A63" s="48" t="str">
        <x:v>UT-057</x:v>
      </x:c>
      <x:c r="B63" s="43" t="str">
        <x:v>項目設定・データ変換
件数変換</x:v>
      </x:c>
      <x:c r="C63" s="43" t="str">
        <x:v>件数が負数</x:v>
      </x:c>
      <x:c r="D63" s="50" t="n">
        <x:v>1</x:v>
      </x:c>
      <x:c r="E63" s="48" t="str">
        <x:v>正常</x:v>
      </x:c>
      <x:c r="F63" s="43" t="str">
        <x:v>欠測時間帯_件数に「-1」を設定する。</x:v>
      </x:c>
      <x:c r="G63" s="43" t="str">
        <x:v>更新後DB／ログ</x:v>
      </x:c>
      <x:c r="H63" s="43" t="str">
        <x:v>CASTの結果と値域チェックが仕様どおり。</x:v>
      </x:c>
      <x:c r="I63" s="58" t="str">
        <x:v>テストデータ：TD-41
要確認：欠測／不正値件数の負数許容</x:v>
      </x:c>
    </x:row>
    <x:row r="64" ht="66" customHeight="1">
      <x:c r="A64" s="52" t="str">
        <x:v>UT-058</x:v>
      </x:c>
      <x:c r="B64" s="53" t="str">
        <x:v>項目設定・データ変換
日付項目</x:v>
      </x:c>
      <x:c r="C64" s="53" t="str">
        <x:v>取得_年月日</x:v>
      </x:c>
      <x:c r="D64" s="54" t="n">
        <x:v>1</x:v>
      </x:c>
      <x:c r="E64" s="52" t="str">
        <x:v>正常</x:v>
      </x:c>
      <x:c r="F64" s="53" t="str">
        <x:v>EPデータの取得_年月日を対象月内の日付にする。</x:v>
      </x:c>
      <x:c r="G64" s="53" t="str">
        <x:v>更新後DB／EP元データ</x:v>
      </x:c>
      <x:c r="H64" s="53" t="str">
        <x:v>生データの取得_年月日が元の日付と一致する。</x:v>
      </x:c>
      <x:c r="I64" s="53" t="str">
        <x:v>テストデータ：TD-01</x:v>
      </x:c>
    </x:row>
    <x:row r="65" ht="66" customHeight="1">
      <x:c r="A65" s="48" t="str">
        <x:v>UT-059</x:v>
      </x:c>
      <x:c r="B65" s="43" t="str">
        <x:v>項目設定・データ変換
48コマ</x:v>
      </x:c>
      <x:c r="C65" s="43" t="str">
        <x:v>48項目の一対一対応</x:v>
      </x:c>
      <x:c r="D65" s="50" t="n">
        <x:v>1</x:v>
      </x:c>
      <x:c r="E65" s="48" t="str">
        <x:v>正常</x:v>
      </x:c>
      <x:c r="F65" s="43" t="str">
        <x:v>V30分_使用_電力量_1～48にすべて異なる数値（例:1.01～48.48）を設定する。</x:v>
      </x:c>
      <x:c r="G65" s="43" t="str">
        <x:v>48項目比較表／生データ照会</x:v>
      </x:c>
      <x:c r="H65" s="43" t="str">
        <x:v>各列1～48が同番号の元EP列に対応し、抜け・ずれ・入れ替わりがない。</x:v>
      </x:c>
      <x:c r="I65" s="43" t="str">
        <x:v>テストデータ：TD-42</x:v>
      </x:c>
    </x:row>
    <x:row r="66" ht="66" customHeight="1">
      <x:c r="A66" s="52" t="str">
        <x:v>UT-060</x:v>
      </x:c>
      <x:c r="B66" s="53" t="str">
        <x:v>項目設定・データ変換
48コマ</x:v>
      </x:c>
      <x:c r="C66" s="53" t="str">
        <x:v>先頭・中央・末尾</x:v>
      </x:c>
      <x:c r="D66" s="54" t="n">
        <x:v>1</x:v>
      </x:c>
      <x:c r="E66" s="52" t="str">
        <x:v>正常</x:v>
      </x:c>
      <x:c r="F66" s="53" t="str">
        <x:v>1・24・25・48番の元数値を異なる値にして登録する。</x:v>
      </x:c>
      <x:c r="G66" s="53" t="str">
        <x:v>生データ4列／EP元データ</x:v>
      </x:c>
      <x:c r="H66" s="53" t="str">
        <x:v>先頭・日付境界相当位置・末尾のNUMERIC変換に欠落がない。</x:v>
      </x:c>
      <x:c r="I66" s="53" t="str">
        <x:v>テストデータ：TD-43</x:v>
      </x:c>
    </x:row>
    <x:row r="67" ht="66" customHeight="1">
      <x:c r="A67" s="48" t="str">
        <x:v>UT-061</x:v>
      </x:c>
      <x:c r="B67" s="43" t="str">
        <x:v>項目設定・データ変換
48コマ</x:v>
      </x:c>
      <x:c r="C67" s="43" t="str">
        <x:v>小数値</x:v>
      </x:c>
      <x:c r="D67" s="50" t="n">
        <x:v>1</x:v>
      </x:c>
      <x:c r="E67" s="48" t="str">
        <x:v>正常</x:v>
      </x:c>
      <x:c r="F67" s="43" t="str">
        <x:v>48コマのうち1列に小数（例:1.2345）を設定する。</x:v>
      </x:c>
      <x:c r="G67" s="43" t="str">
        <x:v>更新後DB型・値</x:v>
      </x:c>
      <x:c r="H67" s="43" t="str">
        <x:v>NUMERIC CASTされ、DB列精度の範囲で値が保存される。</x:v>
      </x:c>
      <x:c r="I67" s="43" t="str">
        <x:v>テストデータ：TD-44</x:v>
      </x:c>
    </x:row>
    <x:row r="68" ht="66" customHeight="1">
      <x:c r="A68" s="52" t="str">
        <x:v>UT-062</x:v>
      </x:c>
      <x:c r="B68" s="53" t="str">
        <x:v>項目設定・データ変換
48コマ</x:v>
      </x:c>
      <x:c r="C68" s="53" t="str">
        <x:v>ゼロ</x:v>
      </x:c>
      <x:c r="D68" s="54" t="n">
        <x:v>1</x:v>
      </x:c>
      <x:c r="E68" s="52" t="str">
        <x:v>正常</x:v>
      </x:c>
      <x:c r="F68" s="53" t="str">
        <x:v>48コマのうち1列に0を設定する。</x:v>
      </x:c>
      <x:c r="G68" s="53" t="str">
        <x:v>更新後DB型・値</x:v>
      </x:c>
      <x:c r="H68" s="53" t="str">
        <x:v>0として保存され、欠損値扱いに誤変換されない。</x:v>
      </x:c>
      <x:c r="I68" s="53" t="str">
        <x:v>テストデータ：TD-45</x:v>
      </x:c>
    </x:row>
    <x:row r="69" ht="66" customHeight="1">
      <x:c r="A69" s="48" t="str">
        <x:v>UT-063</x:v>
      </x:c>
      <x:c r="B69" s="43" t="str">
        <x:v>項目設定・データ変換
48コマ</x:v>
      </x:c>
      <x:c r="C69" s="43" t="str">
        <x:v>NULLとブランク</x:v>
      </x:c>
      <x:c r="D69" s="50" t="n">
        <x:v>1</x:v>
      </x:c>
      <x:c r="E69" s="48" t="str">
        <x:v>正常</x:v>
      </x:c>
      <x:c r="F69" s="43" t="str">
        <x:v>48コマの一部をNULL・空文字に設定する。</x:v>
      </x:c>
      <x:c r="G69" s="43" t="str">
        <x:v>更新後DB／エラーログ</x:v>
      </x:c>
      <x:c r="H69" s="43" t="str">
        <x:v>NUMERIC CASTおよび列制約に従う。空文字のCASTエラー時は後続更新されない。</x:v>
      </x:c>
      <x:c r="I69" s="58" t="str">
        <x:v>テストデータ：TD-46
要確認：空文字はNULL化する実装の有無</x:v>
      </x:c>
    </x:row>
    <x:row r="70" ht="66" customHeight="1">
      <x:c r="A70" s="52" t="str">
        <x:v>UT-064</x:v>
      </x:c>
      <x:c r="B70" s="53" t="str">
        <x:v>項目設定・データ変換
48コマ</x:v>
      </x:c>
      <x:c r="C70" s="53" t="str">
        <x:v>マイナス値</x:v>
      </x:c>
      <x:c r="D70" s="54" t="n">
        <x:v>1</x:v>
      </x:c>
      <x:c r="E70" s="52" t="str">
        <x:v>正常</x:v>
      </x:c>
      <x:c r="F70" s="53" t="str">
        <x:v>1つの30分値に負数を含めて実行する。</x:v>
      </x:c>
      <x:c r="G70" s="53" t="str">
        <x:v>更新後DB／ログ</x:v>
      </x:c>
      <x:c r="H70" s="53" t="str">
        <x:v>NUMERIC CASTと業務上の負数許容条件に従い処理する。</x:v>
      </x:c>
      <x:c r="I70" s="58" t="str">
        <x:v>テストデータ：TD-47
要確認：負数に対する業務チェック</x:v>
      </x:c>
    </x:row>
    <x:row r="71" ht="66" customHeight="1">
      <x:c r="A71" s="48" t="str">
        <x:v>UT-065</x:v>
      </x:c>
      <x:c r="B71" s="43" t="str">
        <x:v>項目設定・データ変換
48コマ</x:v>
      </x:c>
      <x:c r="C71" s="43" t="str">
        <x:v>非数値</x:v>
      </x:c>
      <x:c r="D71" s="50" t="n">
        <x:v>1</x:v>
      </x:c>
      <x:c r="E71" s="48" t="str">
        <x:v>異常</x:v>
      </x:c>
      <x:c r="F71" s="43" t="str">
        <x:v>30分値の1列を「xyz」にして登録処理を実行する。</x:v>
      </x:c>
      <x:c r="G71" s="43" t="str">
        <x:v>エラーログ／DB差分</x:v>
      </x:c>
      <x:c r="H71" s="43" t="str">
        <x:v>NUMERIC CASTの失敗を捕捉し、当該登録処理を異常扱いとして記録する。</x:v>
      </x:c>
      <x:c r="I71" s="43" t="str">
        <x:v>テストデータ：TD-48</x:v>
      </x:c>
    </x:row>
    <x:row r="72" ht="66" customHeight="1">
      <x:c r="A72" s="52" t="str">
        <x:v>UT-066</x:v>
      </x:c>
      <x:c r="B72" s="53" t="str">
        <x:v>項目設定・データ変換
監査項目</x:v>
      </x:c>
      <x:c r="C72" s="53" t="str">
        <x:v>削除フラグ初期値</x:v>
      </x:c>
      <x:c r="D72" s="54" t="n">
        <x:v>1</x:v>
      </x:c>
      <x:c r="E72" s="52" t="str">
        <x:v>正常</x:v>
      </x:c>
      <x:c r="F72" s="53" t="str">
        <x:v>新規登録を実行する。</x:v>
      </x:c>
      <x:c r="G72" s="53" t="str">
        <x:v>生データ削除フラグ</x:v>
      </x:c>
      <x:c r="H72" s="53" t="str">
        <x:v>30分値の生データ情報の削除フラグがFALSEになる。</x:v>
      </x:c>
      <x:c r="I72" s="53" t="str">
        <x:v>テストデータ：TD-01</x:v>
      </x:c>
    </x:row>
    <x:row r="73" ht="66" customHeight="1">
      <x:c r="A73" s="48" t="str">
        <x:v>UT-067</x:v>
      </x:c>
      <x:c r="B73" s="43" t="str">
        <x:v>項目設定・データ変換
監査項目</x:v>
      </x:c>
      <x:c r="C73" s="43" t="str">
        <x:v>新規登録時の作成者・日時</x:v>
      </x:c>
      <x:c r="D73" s="50" t="n">
        <x:v>1</x:v>
      </x:c>
      <x:c r="E73" s="48" t="str">
        <x:v>正常</x:v>
      </x:c>
      <x:c r="F73" s="43" t="str">
        <x:v>固定したバッチ実行者と時刻で新規登録する。</x:v>
      </x:c>
      <x:c r="G73" s="43" t="str">
        <x:v>生データ作成者・作成日時</x:v>
      </x:c>
      <x:c r="H73" s="43" t="str">
        <x:v>作成者・作成日時が指定のバッチ実行者・現在日時となる。</x:v>
      </x:c>
      <x:c r="I73" s="43" t="str">
        <x:v>テストデータ：TD-49</x:v>
      </x:c>
    </x:row>
    <x:row r="74" ht="66" customHeight="1">
      <x:c r="A74" s="52" t="str">
        <x:v>UT-068</x:v>
      </x:c>
      <x:c r="B74" s="53" t="str">
        <x:v>項目設定・データ変換
監査項目</x:v>
      </x:c>
      <x:c r="C74" s="53" t="str">
        <x:v>新規登録時の更新者・日時</x:v>
      </x:c>
      <x:c r="D74" s="54" t="n">
        <x:v>1</x:v>
      </x:c>
      <x:c r="E74" s="52" t="str">
        <x:v>正常</x:v>
      </x:c>
      <x:c r="F74" s="53" t="str">
        <x:v>固定したバッチ実行者と時刻で新規登録する。</x:v>
      </x:c>
      <x:c r="G74" s="53" t="str">
        <x:v>生データ更新者・更新日時</x:v>
      </x:c>
      <x:c r="H74" s="53" t="str">
        <x:v>更新者・更新日時が指定のバッチ実行者・現在日時となる。</x:v>
      </x:c>
      <x:c r="I74" s="53" t="str">
        <x:v>テストデータ：TD-49</x:v>
      </x:c>
    </x:row>
    <x:row r="75" ht="66" customHeight="1">
      <x:c r="A75" s="48" t="str">
        <x:v>UT-069</x:v>
      </x:c>
      <x:c r="B75" s="43" t="str">
        <x:v>項目設定・データ変換
監査項目</x:v>
      </x:c>
      <x:c r="C75" s="43" t="str">
        <x:v>ファイル更新日時初期値</x:v>
      </x:c>
      <x:c r="D75" s="50" t="n">
        <x:v>1</x:v>
      </x:c>
      <x:c r="E75" s="48" t="str">
        <x:v>正常</x:v>
      </x:c>
      <x:c r="F75" s="43" t="str">
        <x:v>新規登録を実行する。</x:v>
      </x:c>
      <x:c r="G75" s="43" t="str">
        <x:v>生データ該当列</x:v>
      </x:c>
      <x:c r="H75" s="43" t="str">
        <x:v>ファイル更新日時が仕様に記載された空文字（またはDB上の正規化値）となる。</x:v>
      </x:c>
      <x:c r="I75" s="58" t="str">
        <x:v>テストデータ：TD-01
要確認：日時型の場合の空文字の保存形式</x:v>
      </x:c>
    </x:row>
    <x:row r="76" ht="66" customHeight="1">
      <x:c r="A76" s="52" t="str">
        <x:v>UT-070</x:v>
      </x:c>
      <x:c r="B76" s="53" t="str">
        <x:v>UPSERT登録・更新
新規登録</x:v>
      </x:c>
      <x:c r="C76" s="53" t="str">
        <x:v>未登録データをINSERT</x:v>
      </x:c>
      <x:c r="D76" s="54" t="n">
        <x:v>1</x:v>
      </x:c>
      <x:c r="E76" s="52" t="str">
        <x:v>正常</x:v>
      </x:c>
      <x:c r="F76" s="53" t="str">
        <x:v>同一ユニークキーの生データが存在しない状態で1件処理する。</x:v>
      </x:c>
      <x:c r="G76" s="53" t="str">
        <x:v>INSERT前後のDB件数・内容</x:v>
      </x:c>
      <x:c r="H76" s="53" t="str">
        <x:v>新規生データが作成され、対象地点・日付・各項目が期待値となる。</x:v>
      </x:c>
      <x:c r="I76" s="53" t="str">
        <x:v>テストデータ：TD-01</x:v>
      </x:c>
    </x:row>
    <x:row r="77" ht="66" customHeight="1">
      <x:c r="A77" s="48" t="str">
        <x:v>UT-071</x:v>
      </x:c>
      <x:c r="B77" s="43" t="str">
        <x:v>UPSERT登録・更新
既存更新</x:v>
      </x:c>
      <x:c r="C77" s="43" t="str">
        <x:v>既存データをUPDATE</x:v>
      </x:c>
      <x:c r="D77" s="50" t="n">
        <x:v>1</x:v>
      </x:c>
      <x:c r="E77" s="48" t="str">
        <x:v>正常</x:v>
      </x:c>
      <x:c r="F77" s="43" t="str">
        <x:v>同一ユニークキーの生データを事前登録し、元EP値を変更して再実行する。</x:v>
      </x:c>
      <x:c r="G77" s="43" t="str">
        <x:v>UPDATE前後DB差分</x:v>
      </x:c>
      <x:c r="H77" s="43" t="str">
        <x:v>新規行を増やさず既存行が更新され、最新データになる。</x:v>
      </x:c>
      <x:c r="I77" s="58" t="str">
        <x:v>テストデータ：TD-50
要確認：UPSERT競合キー</x:v>
      </x:c>
    </x:row>
    <x:row r="78" ht="66" customHeight="1">
      <x:c r="A78" s="52" t="str">
        <x:v>UT-072</x:v>
      </x:c>
      <x:c r="B78" s="53" t="str">
        <x:v>UPSERT登録・更新
既存更新</x:v>
      </x:c>
      <x:c r="C78" s="53" t="str">
        <x:v>更新時の作成者・作成日時保持</x:v>
      </x:c>
      <x:c r="D78" s="54" t="n">
        <x:v>1</x:v>
      </x:c>
      <x:c r="E78" s="52" t="str">
        <x:v>正常</x:v>
      </x:c>
      <x:c r="F78" s="53" t="str">
        <x:v>既存生データの作成者・作成日時を別の過去値にしてUPDATEする。</x:v>
      </x:c>
      <x:c r="G78" s="53" t="str">
        <x:v>更新前後DB監査項目</x:v>
      </x:c>
      <x:c r="H78" s="53" t="str">
        <x:v>UPDATE時は作成者・作成日時が維持される。</x:v>
      </x:c>
      <x:c r="I78" s="53" t="str">
        <x:v>テストデータ：TD-50</x:v>
      </x:c>
    </x:row>
    <x:row r="79" ht="66" customHeight="1">
      <x:c r="A79" s="48" t="str">
        <x:v>UT-073</x:v>
      </x:c>
      <x:c r="B79" s="43" t="str">
        <x:v>UPSERT登録・更新
既存更新</x:v>
      </x:c>
      <x:c r="C79" s="43" t="str">
        <x:v>更新者・更新日時を更新</x:v>
      </x:c>
      <x:c r="D79" s="50" t="n">
        <x:v>1</x:v>
      </x:c>
      <x:c r="E79" s="48" t="str">
        <x:v>正常</x:v>
      </x:c>
      <x:c r="F79" s="43" t="str">
        <x:v>UPSERT UPDATEにより既存行を更新する。</x:v>
      </x:c>
      <x:c r="G79" s="43" t="str">
        <x:v>更新前後DB監査項目</x:v>
      </x:c>
      <x:c r="H79" s="43" t="str">
        <x:v>更新者がバッチ実行者、更新日時が今回実行日時になる。</x:v>
      </x:c>
      <x:c r="I79" s="43" t="str">
        <x:v>テストデータ：TD-50</x:v>
      </x:c>
    </x:row>
    <x:row r="80" ht="66" customHeight="1">
      <x:c r="A80" s="52" t="str">
        <x:v>UT-074</x:v>
      </x:c>
      <x:c r="B80" s="53" t="str">
        <x:v>UPSERT登録・更新
既存更新</x:v>
      </x:c>
      <x:c r="C80" s="53" t="str">
        <x:v>既存項目の上書き対象</x:v>
      </x:c>
      <x:c r="D80" s="54" t="n">
        <x:v>1</x:v>
      </x:c>
      <x:c r="E80" s="52" t="str">
        <x:v>正常</x:v>
      </x:c>
      <x:c r="F80" s="53" t="str">
        <x:v>既存行の名称・電力量・削除フラグ等を元と違う値にしてUPSERTする。</x:v>
      </x:c>
      <x:c r="G80" s="53" t="str">
        <x:v>UPSERT前後の項目差分</x:v>
      </x:c>
      <x:c r="H80" s="53" t="str">
        <x:v>仕様のON CONFLICT DO UPDATE SETに列挙された項目だけを正しく更新する。</x:v>
      </x:c>
      <x:c r="I80" s="58" t="str">
        <x:v>テストデータ：TD-51
要確認：更新対象項目の全列一覧</x:v>
      </x:c>
    </x:row>
    <x:row r="81" ht="66" customHeight="1">
      <x:c r="A81" s="48" t="str">
        <x:v>UT-075</x:v>
      </x:c>
      <x:c r="B81" s="43" t="str">
        <x:v>UPSERT登録・更新
既存更新</x:v>
      </x:c>
      <x:c r="C81" s="43" t="str">
        <x:v>ファイル更新日時の扱い</x:v>
      </x:c>
      <x:c r="D81" s="50" t="n">
        <x:v>1</x:v>
      </x:c>
      <x:c r="E81" s="48" t="str">
        <x:v>正常</x:v>
      </x:c>
      <x:c r="F81" s="43" t="str">
        <x:v>既存行のファイル更新日時に過去値を入れてUPSERTする。</x:v>
      </x:c>
      <x:c r="G81" s="43" t="str">
        <x:v>UPSERT前後の該当列</x:v>
      </x:c>
      <x:c r="H81" s="43" t="str">
        <x:v>ファイル更新日時がUPDATE句の指定どおり更新または保持される。</x:v>
      </x:c>
      <x:c r="I81" s="58" t="str">
        <x:v>テストデータ：TD-50
要確認：UPSERT UPDATE句への記載有無</x:v>
      </x:c>
    </x:row>
    <x:row r="82" ht="66" customHeight="1">
      <x:c r="A82" s="52" t="str">
        <x:v>UT-076</x:v>
      </x:c>
      <x:c r="B82" s="53" t="str">
        <x:v>UPSERT登録・更新
混在処理</x:v>
      </x:c>
      <x:c r="C82" s="53" t="str">
        <x:v>INSERTとUPDATEが混在</x:v>
      </x:c>
      <x:c r="D82" s="54" t="n">
        <x:v>1</x:v>
      </x:c>
      <x:c r="E82" s="52" t="str">
        <x:v>正常</x:v>
      </x:c>
      <x:c r="F82" s="53" t="str">
        <x:v>同一バッチ内で既存行1件、新規行1件を処理する。</x:v>
      </x:c>
      <x:c r="G82" s="53" t="str">
        <x:v>生データ前後件数・内容</x:v>
      </x:c>
      <x:c r="H82" s="53" t="str">
        <x:v>既存行は更新・未登録行は追加し、件数が期待値どおり。</x:v>
      </x:c>
      <x:c r="I82" s="53" t="str">
        <x:v>テストデータ：TD-52</x:v>
      </x:c>
    </x:row>
    <x:row r="83" ht="66" customHeight="1">
      <x:c r="A83" s="48" t="str">
        <x:v>UT-077</x:v>
      </x:c>
      <x:c r="B83" s="43" t="str">
        <x:v>UPSERT登録・更新
混在処理</x:v>
      </x:c>
      <x:c r="C83" s="43" t="str">
        <x:v>複数地点・複数日</x:v>
      </x:c>
      <x:c r="D83" s="50" t="n">
        <x:v>1</x:v>
      </x:c>
      <x:c r="E83" s="48" t="str">
        <x:v>正常</x:v>
      </x:c>
      <x:c r="F83" s="43" t="str">
        <x:v>2地点×対象月の複数日のEPデータを与えて処理する。</x:v>
      </x:c>
      <x:c r="G83" s="43" t="str">
        <x:v>生データキー・件数・値</x:v>
      </x:c>
      <x:c r="H83" s="43" t="str">
        <x:v>地点・取得年月日を取り違えず、正しい行だけUPSERTされる。</x:v>
      </x:c>
      <x:c r="I83" s="58" t="str">
        <x:v>テストデータ：TD-53
要確認：UPSERT競合キー</x:v>
      </x:c>
    </x:row>
    <x:row r="84" ht="66" customHeight="1">
      <x:c r="A84" s="52" t="str">
        <x:v>UT-078</x:v>
      </x:c>
      <x:c r="B84" s="53" t="str">
        <x:v>UPSERT登録・更新
データ整合</x:v>
      </x:c>
      <x:c r="C84" s="53" t="str">
        <x:v>対象外地点の既存データ保持</x:v>
      </x:c>
      <x:c r="D84" s="54" t="n">
        <x:v>1</x:v>
      </x:c>
      <x:c r="E84" s="52" t="str">
        <x:v>正常</x:v>
      </x:c>
      <x:c r="F84" s="53" t="str">
        <x:v>対象の供給地点以外の既存生データを別途登録して実行する。</x:v>
      </x:c>
      <x:c r="G84" s="53" t="str">
        <x:v>対象外地点のDB差分</x:v>
      </x:c>
      <x:c r="H84" s="53" t="str">
        <x:v>対象外地点の既存データは変更されない。</x:v>
      </x:c>
      <x:c r="I84" s="53" t="str">
        <x:v>テストデータ：TD-54</x:v>
      </x:c>
    </x:row>
    <x:row r="85" ht="66" customHeight="1">
      <x:c r="A85" s="48" t="str">
        <x:v>UT-079</x:v>
      </x:c>
      <x:c r="B85" s="43" t="str">
        <x:v>UPSERT登録・更新
データ整合</x:v>
      </x:c>
      <x:c r="C85" s="43" t="str">
        <x:v>元EPデータ複数行の競合</x:v>
      </x:c>
      <x:c r="D85" s="50" t="n">
        <x:v>1</x:v>
      </x:c>
      <x:c r="E85" s="48" t="str">
        <x:v>正常</x:v>
      </x:c>
      <x:c r="F85" s="43" t="str">
        <x:v>同一キーに該当し得るEPレコードを複数用意して処理する。</x:v>
      </x:c>
      <x:c r="G85" s="43" t="str">
        <x:v>DB件数／SQLエラーログ</x:v>
      </x:c>
      <x:c r="H85" s="43" t="str">
        <x:v>一意制約違反・複数更新等の扱いが定義どおりで、データが重複しない。</x:v>
      </x:c>
      <x:c r="I85" s="58" t="str">
        <x:v>テストデータ：TD-55
要確認：競合キーと元重複時の仕様</x:v>
      </x:c>
    </x:row>
    <x:row r="86" ht="66" customHeight="1">
      <x:c r="A86" s="52" t="str">
        <x:v>UT-080</x:v>
      </x:c>
      <x:c r="B86" s="53" t="str">
        <x:v>処理対象の成功更新
管理テーブル更新</x:v>
      </x:c>
      <x:c r="C86" s="53" t="str">
        <x:v>紐付け日時設定</x:v>
      </x:c>
      <x:c r="D86" s="54" t="n">
        <x:v>1</x:v>
      </x:c>
      <x:c r="E86" s="52" t="str">
        <x:v>正常</x:v>
      </x:c>
      <x:c r="F86" s="53" t="str">
        <x:v>1件の登録を正常終了させ、対象の30分値取込管理を照会する。</x:v>
      </x:c>
      <x:c r="G86" s="53" t="str">
        <x:v>管理テーブル前後比較</x:v>
      </x:c>
      <x:c r="H86" s="53" t="str">
        <x:v>当該行の紐付け日時に現在日時が設定される。</x:v>
      </x:c>
      <x:c r="I86" s="53" t="str">
        <x:v>テストデータ：TD-01</x:v>
      </x:c>
    </x:row>
    <x:row r="87" ht="66" customHeight="1">
      <x:c r="A87" s="48" t="str">
        <x:v>UT-081</x:v>
      </x:c>
      <x:c r="B87" s="43" t="str">
        <x:v>処理対象の成功更新
管理テーブル更新</x:v>
      </x:c>
      <x:c r="C87" s="43" t="str">
        <x:v>紐付けエラーメッセージ消去</x:v>
      </x:c>
      <x:c r="D87" s="50" t="n">
        <x:v>1</x:v>
      </x:c>
      <x:c r="E87" s="48" t="str">
        <x:v>正常</x:v>
      </x:c>
      <x:c r="F87" s="43" t="str">
        <x:v>更新前に紐付けエラーメッセージを設定し、正常処理させる。</x:v>
      </x:c>
      <x:c r="G87" s="43" t="str">
        <x:v>管理テーブル前後比較</x:v>
      </x:c>
      <x:c r="H87" s="43" t="str">
        <x:v>対象行の紐付けエラーメッセージが空文字になる。</x:v>
      </x:c>
      <x:c r="I87" s="43" t="str">
        <x:v>テストデータ：TD-56</x:v>
      </x:c>
    </x:row>
    <x:row r="88" ht="66" customHeight="1">
      <x:c r="A88" s="52" t="str">
        <x:v>UT-082</x:v>
      </x:c>
      <x:c r="B88" s="53" t="str">
        <x:v>処理対象の成功更新
管理テーブル更新</x:v>
      </x:c>
      <x:c r="C88" s="53" t="str">
        <x:v>更新者・更新日時</x:v>
      </x:c>
      <x:c r="D88" s="54" t="n">
        <x:v>1</x:v>
      </x:c>
      <x:c r="E88" s="52" t="str">
        <x:v>正常</x:v>
      </x:c>
      <x:c r="F88" s="53" t="str">
        <x:v>バッチ実行者・時刻を固定して正常処理する。</x:v>
      </x:c>
      <x:c r="G88" s="53" t="str">
        <x:v>管理テーブル監査項目</x:v>
      </x:c>
      <x:c r="H88" s="53" t="str">
        <x:v>更新者＝バッチ実行者、更新日時＝現在日時となる。</x:v>
      </x:c>
      <x:c r="I88" s="53" t="str">
        <x:v>テストデータ：TD-49</x:v>
      </x:c>
    </x:row>
    <x:row r="89" ht="66" customHeight="1">
      <x:c r="A89" s="48" t="str">
        <x:v>UT-083</x:v>
      </x:c>
      <x:c r="B89" s="43" t="str">
        <x:v>処理対象の成功更新
管理テーブル更新</x:v>
      </x:c>
      <x:c r="C89" s="43" t="str">
        <x:v>対象の供給地点のみ</x:v>
      </x:c>
      <x:c r="D89" s="50" t="n">
        <x:v>1</x:v>
      </x:c>
      <x:c r="E89" s="48" t="str">
        <x:v>正常</x:v>
      </x:c>
      <x:c r="F89" s="43" t="str">
        <x:v>処理済み地点と未処理地点を用意し、片方を完了させる。</x:v>
      </x:c>
      <x:c r="G89" s="43" t="str">
        <x:v>管理テーブル前後比較</x:v>
      </x:c>
      <x:c r="H89" s="43" t="str">
        <x:v>完了した供給地点特定番号の管理行のみ成功更新される。</x:v>
      </x:c>
      <x:c r="I89" s="43" t="str">
        <x:v>テストデータ：TD-57</x:v>
      </x:c>
    </x:row>
    <x:row r="90" ht="66" customHeight="1">
      <x:c r="A90" s="52" t="str">
        <x:v>UT-084</x:v>
      </x:c>
      <x:c r="B90" s="53" t="str">
        <x:v>処理対象の成功更新
管理テーブル更新</x:v>
      </x:c>
      <x:c r="C90" s="53" t="str">
        <x:v>成功時に次回抽出対象外</x:v>
      </x:c>
      <x:c r="D90" s="54" t="n">
        <x:v>1</x:v>
      </x:c>
      <x:c r="E90" s="52" t="str">
        <x:v>正常</x:v>
      </x:c>
      <x:c r="F90" s="53" t="str">
        <x:v>1件成功後、次の抽出処理を再度実行する。</x:v>
      </x:c>
      <x:c r="G90" s="53" t="str">
        <x:v>次回SELECT結果／管理テーブル</x:v>
      </x:c>
      <x:c r="H90" s="53" t="str">
        <x:v>紐付け日時がNULLでなくなり、同じ行は再抽出されない。</x:v>
      </x:c>
      <x:c r="I90" s="53" t="str">
        <x:v>テストデータ：TD-01</x:v>
      </x:c>
    </x:row>
    <x:row r="91" ht="66" customHeight="1">
      <x:c r="A91" s="48" t="str">
        <x:v>UT-085</x:v>
      </x:c>
      <x:c r="B91" s="43" t="str">
        <x:v>処理対象の成功更新
トランザクション</x:v>
      </x:c>
      <x:c r="C91" s="43" t="str">
        <x:v>成功時COMMIT</x:v>
      </x:c>
      <x:c r="D91" s="50" t="n">
        <x:v>1</x:v>
      </x:c>
      <x:c r="E91" s="48" t="str">
        <x:v>正常</x:v>
      </x:c>
      <x:c r="F91" s="43" t="str">
        <x:v>正常な1件で生データUPSERTと管理テーブル更新を実行する。</x:v>
      </x:c>
      <x:c r="G91" s="43" t="str">
        <x:v>トランザクションログ／DB結果</x:v>
      </x:c>
      <x:c r="H91" s="43" t="str">
        <x:v>トランザクションの確定後、両テーブルの変更が残る。</x:v>
      </x:c>
      <x:c r="I91" s="43" t="str">
        <x:v>テストデータ：TD-01</x:v>
      </x:c>
    </x:row>
    <x:row r="92" ht="66" customHeight="1">
      <x:c r="A92" s="52" t="str">
        <x:v>UT-086</x:v>
      </x:c>
      <x:c r="B92" s="53" t="str">
        <x:v>異常系・トランザクション
エラー記録</x:v>
      </x:c>
      <x:c r="C92" s="53" t="str">
        <x:v>生データINSERTでDBエラー</x:v>
      </x:c>
      <x:c r="D92" s="54" t="n">
        <x:v>1</x:v>
      </x:c>
      <x:c r="E92" s="52" t="str">
        <x:v>異常</x:v>
      </x:c>
      <x:c r="F92" s="53" t="str">
        <x:v>DB制約違反等を発生させ、3のUPSERTを失敗させる。</x:v>
      </x:c>
      <x:c r="G92" s="53" t="str">
        <x:v>管理テーブル／ERRORログ</x:v>
      </x:c>
      <x:c r="H92" s="53" t="str">
        <x:v>エラーを捕捉し、紐付けエラーメッセージに原因を記録する。</x:v>
      </x:c>
      <x:c r="I92" s="58" t="str">
        <x:v>テストデータ：TD-58
要確認：例外検知からNo.6更新までの制御経路</x:v>
      </x:c>
    </x:row>
    <x:row r="93" ht="66" customHeight="1">
      <x:c r="A93" s="48" t="str">
        <x:v>UT-087</x:v>
      </x:c>
      <x:c r="B93" s="43" t="str">
        <x:v>異常系・トランザクション
エラー記録</x:v>
      </x:c>
      <x:c r="C93" s="43" t="str">
        <x:v>生データUPDATEでDBエラー</x:v>
      </x:c>
      <x:c r="D93" s="50" t="n">
        <x:v>1</x:v>
      </x:c>
      <x:c r="E93" s="48" t="str">
        <x:v>異常</x:v>
      </x:c>
      <x:c r="F93" s="43" t="str">
        <x:v>既存行の更新時に制約違反等を発生させる。</x:v>
      </x:c>
      <x:c r="G93" s="43" t="str">
        <x:v>管理テーブル／ERRORログ</x:v>
      </x:c>
      <x:c r="H93" s="43" t="str">
        <x:v>正常完了扱いとせず、管理テーブルにエラーメッセージを記録する。</x:v>
      </x:c>
      <x:c r="I93" s="43" t="str">
        <x:v>テストデータ：TD-59</x:v>
      </x:c>
    </x:row>
    <x:row r="94" ht="66" customHeight="1">
      <x:c r="A94" s="52" t="str">
        <x:v>UT-088</x:v>
      </x:c>
      <x:c r="B94" s="53" t="str">
        <x:v>異常系・トランザクション
エラー記録</x:v>
      </x:c>
      <x:c r="C94" s="53" t="str">
        <x:v>エラー更新先の限定</x:v>
      </x:c>
      <x:c r="D94" s="54" t="n">
        <x:v>1</x:v>
      </x:c>
      <x:c r="E94" s="52" t="str">
        <x:v>異常</x:v>
      </x:c>
      <x:c r="F94" s="53" t="str">
        <x:v>複数管理行のうち1行のみエラーにする。</x:v>
      </x:c>
      <x:c r="G94" s="53" t="str">
        <x:v>管理テーブル差分</x:v>
      </x:c>
      <x:c r="H94" s="53" t="str">
        <x:v>エラーになった供給地点の行だけメッセージ・更新者・更新日時を変更する。</x:v>
      </x:c>
      <x:c r="I94" s="53" t="str">
        <x:v>テストデータ：TD-60</x:v>
      </x:c>
    </x:row>
    <x:row r="95" ht="66" customHeight="1">
      <x:c r="A95" s="48" t="str">
        <x:v>UT-089</x:v>
      </x:c>
      <x:c r="B95" s="43" t="str">
        <x:v>異常系・トランザクション
エラー記録</x:v>
      </x:c>
      <x:c r="C95" s="43" t="str">
        <x:v>エラー時は紐付け日時を付けない</x:v>
      </x:c>
      <x:c r="D95" s="50" t="n">
        <x:v>1</x:v>
      </x:c>
      <x:c r="E95" s="48" t="str">
        <x:v>異常</x:v>
      </x:c>
      <x:c r="F95" s="43" t="str">
        <x:v>登録失敗の管理行を事前に紐付け日時NULLで用意し処理する。</x:v>
      </x:c>
      <x:c r="G95" s="43" t="str">
        <x:v>管理テーブル差分</x:v>
      </x:c>
      <x:c r="H95" s="43" t="str">
        <x:v>失敗行の紐付け日時が設定されず、正常完了と誤認しない。</x:v>
      </x:c>
      <x:c r="I95" s="43" t="str">
        <x:v>テストデータ：TD-58</x:v>
      </x:c>
    </x:row>
    <x:row r="96" ht="66" customHeight="1">
      <x:c r="A96" s="52" t="str">
        <x:v>UT-090</x:v>
      </x:c>
      <x:c r="B96" s="53" t="str">
        <x:v>異常系・トランザクション
エラー記録</x:v>
      </x:c>
      <x:c r="C96" s="53" t="str">
        <x:v>エラー時の更新者・更新日時</x:v>
      </x:c>
      <x:c r="D96" s="54" t="n">
        <x:v>1</x:v>
      </x:c>
      <x:c r="E96" s="52" t="str">
        <x:v>異常</x:v>
      </x:c>
      <x:c r="F96" s="53" t="str">
        <x:v>時刻・実行者を固定し、意図的にUPSERTを失敗させる。</x:v>
      </x:c>
      <x:c r="G96" s="53" t="str">
        <x:v>管理テーブル監査項目</x:v>
      </x:c>
      <x:c r="H96" s="53" t="str">
        <x:v>管理行の更新者はバッチ実行者、更新日時は現在日時となる。</x:v>
      </x:c>
      <x:c r="I96" s="53" t="str">
        <x:v>テストデータ：TD-58</x:v>
      </x:c>
    </x:row>
    <x:row r="97" ht="66" customHeight="1">
      <x:c r="A97" s="48" t="str">
        <x:v>UT-091</x:v>
      </x:c>
      <x:c r="B97" s="43" t="str">
        <x:v>異常系・トランザクション
エラー記録</x:v>
      </x:c>
      <x:c r="C97" s="43" t="str">
        <x:v>エラーメッセージ長超過</x:v>
      </x:c>
      <x:c r="D97" s="50" t="n">
        <x:v>1</x:v>
      </x:c>
      <x:c r="E97" s="48" t="str">
        <x:v>異常</x:v>
      </x:c>
      <x:c r="F97" s="43" t="str">
        <x:v>保存先文字数を超える長い例外内容を生成する。</x:v>
      </x:c>
      <x:c r="G97" s="43" t="str">
        <x:v>エラーログ／管理テーブル</x:v>
      </x:c>
      <x:c r="H97" s="43" t="str">
        <x:v>例外処理自体が再失敗せず、仕様に沿った長さ／内容で保存される。</x:v>
      </x:c>
      <x:c r="I97" s="58" t="str">
        <x:v>テストデータ：TD-61
要確認：メッセージ最大長と切詰め規則</x:v>
      </x:c>
    </x:row>
    <x:row r="98" ht="66" customHeight="1">
      <x:c r="A98" s="52" t="str">
        <x:v>UT-092</x:v>
      </x:c>
      <x:c r="B98" s="53" t="str">
        <x:v>異常系・トランザクション
トランザクション</x:v>
      </x:c>
      <x:c r="C98" s="53" t="str">
        <x:v>UPSERT後に管理更新失敗</x:v>
      </x:c>
      <x:c r="D98" s="54" t="n">
        <x:v>1</x:v>
      </x:c>
      <x:c r="E98" s="52" t="str">
        <x:v>異常</x:v>
      </x:c>
      <x:c r="F98" s="53" t="str">
        <x:v>UPSERT成功直後、取込管理UPDATEをDBエラーにする。</x:v>
      </x:c>
      <x:c r="G98" s="53" t="str">
        <x:v>前後DB差分／SQLログ</x:v>
      </x:c>
      <x:c r="H98" s="53" t="str">
        <x:v>生データのみコミットされる不整合を防ぎ、仕様のトランザクション単位でROLLBACKする。</x:v>
      </x:c>
      <x:c r="I98" s="58" t="str">
        <x:v>テストデータ：TD-62
要確認：実際のトランザクション境界</x:v>
      </x:c>
    </x:row>
    <x:row r="99" ht="66" customHeight="1">
      <x:c r="A99" s="48" t="str">
        <x:v>UT-093</x:v>
      </x:c>
      <x:c r="B99" s="43" t="str">
        <x:v>異常系・トランザクション
トランザクション</x:v>
      </x:c>
      <x:c r="C99" s="43" t="str">
        <x:v>UPSERT途中で失敗</x:v>
      </x:c>
      <x:c r="D99" s="50" t="n">
        <x:v>1</x:v>
      </x:c>
      <x:c r="E99" s="48" t="str">
        <x:v>異常</x:v>
      </x:c>
      <x:c r="F99" s="43" t="str">
        <x:v>同一処理対象の複数EP日付の途中で例外を発生させる。</x:v>
      </x:c>
      <x:c r="G99" s="43" t="str">
        <x:v>DB差分／ROLLBACKログ</x:v>
      </x:c>
      <x:c r="H99" s="43" t="str">
        <x:v>部分登録の有無が設計されたトランザクション粒度と一致する。</x:v>
      </x:c>
      <x:c r="I99" s="58" t="str">
        <x:v>テストデータ：TD-63
要確認：1地点／1日／1ループのトランザクション粒度</x:v>
      </x:c>
    </x:row>
    <x:row r="100" ht="66" customHeight="1">
      <x:c r="A100" s="52" t="str">
        <x:v>UT-094</x:v>
      </x:c>
      <x:c r="B100" s="53" t="str">
        <x:v>異常系・トランザクション
制御フロー</x:v>
      </x:c>
      <x:c r="C100" s="53" t="str">
        <x:v>Exception時の後続処理</x:v>
      </x:c>
      <x:c r="D100" s="54" t="n">
        <x:v>1</x:v>
      </x:c>
      <x:c r="E100" s="52" t="str">
        <x:v>異常</x:v>
      </x:c>
      <x:c r="F100" s="53" t="str">
        <x:v>処理途中に想定外例外を注入し、フローの後続呼出しを検証する。</x:v>
      </x:c>
      <x:c r="G100" s="53" t="str">
        <x:v>メソッド呼出履歴／終了ログ</x:v>
      </x:c>
      <x:c r="H100" s="53" t="str">
        <x:v>フロー記載どおり後続処理をSKIPして終了処理へ遷移する。</x:v>
      </x:c>
      <x:c r="I100" s="58" t="str">
        <x:v>テストデータ：TD-64
要確認：個別エラー記録更新との優先順位</x:v>
      </x:c>
    </x:row>
    <x:row r="101" ht="66" customHeight="1">
      <x:c r="A101" s="48" t="str">
        <x:v>UT-095</x:v>
      </x:c>
      <x:c r="B101" s="43" t="str">
        <x:v>異常系・トランザクション
制御フロー</x:v>
      </x:c>
      <x:c r="C101" s="43" t="str">
        <x:v>エラー対象の再取得・無限ループ防止</x:v>
      </x:c>
      <x:c r="D101" s="50" t="n">
        <x:v>1</x:v>
      </x:c>
      <x:c r="E101" s="48" t="str">
        <x:v>異常</x:v>
      </x:c>
      <x:c r="F101" s="43" t="str">
        <x:v>状態3・紐付け日時NULLのままエラーメッセージだけ保存された行を再抽出する。</x:v>
      </x:c>
      <x:c r="G101" s="43" t="str">
        <x:v>取得回数／終了ログ</x:v>
      </x:c>
      <x:c r="H101" s="43" t="str">
        <x:v>エラー行の再取得に伴う無限ループが発生しない設計になっている。</x:v>
      </x:c>
      <x:c r="I101" s="58" t="str">
        <x:v>テストデータ：TD-65
要確認（優先）：SELECT条件が紐付けエラーメッセージを参照せず、エラー更新でも紐付け日時がNULLのまま</x:v>
      </x:c>
    </x:row>
    <x:row r="102" ht="66" customHeight="1">
      <x:c r="A102" s="52" t="str">
        <x:v>UT-096</x:v>
      </x:c>
      <x:c r="B102" s="53" t="str">
        <x:v>異常系・トランザクション
制御フロー</x:v>
      </x:c>
      <x:c r="C102" s="53" t="str">
        <x:v>例外後の次地点処理</x:v>
      </x:c>
      <x:c r="D102" s="54" t="n">
        <x:v>1</x:v>
      </x:c>
      <x:c r="E102" s="52" t="str">
        <x:v>異常</x:v>
      </x:c>
      <x:c r="F102" s="53" t="str">
        <x:v>連続する対象で1件目のみエラー、2件目は正常とする。</x:v>
      </x:c>
      <x:c r="G102" s="53" t="str">
        <x:v>ログ／各地点のDB状態</x:v>
      </x:c>
      <x:c r="H102" s="53" t="str">
        <x:v>継続／全体停止の動きが確定した異常処理仕様どおり。</x:v>
      </x:c>
      <x:c r="I102" s="58" t="str">
        <x:v>テストデータ：TD-60
要確認：エラー時に次データへ進むか終了するか</x:v>
      </x:c>
    </x:row>
    <x:row r="103" ht="66" customHeight="1">
      <x:c r="A103" s="48" t="str">
        <x:v>UT-097</x:v>
      </x:c>
      <x:c r="B103" s="43" t="str">
        <x:v>ループ・件数
継続条件</x:v>
      </x:c>
      <x:c r="C103" s="43" t="str">
        <x:v>1回処理後に対象0件</x:v>
      </x:c>
      <x:c r="D103" s="50" t="n">
        <x:v>1</x:v>
      </x:c>
      <x:c r="E103" s="48" t="str">
        <x:v>正常</x:v>
      </x:c>
      <x:c r="F103" s="43" t="str">
        <x:v>1件を正常処理後、抽出条件を満たす行が0件になるデータで実行する。</x:v>
      </x:c>
      <x:c r="G103" s="43" t="str">
        <x:v>SELECT回数／終了ログ</x:v>
      </x:c>
      <x:c r="H103" s="43" t="str">
        <x:v>次回取得が0件となり正常終了する。</x:v>
      </x:c>
      <x:c r="I103" s="43" t="str">
        <x:v>テストデータ：TD-01</x:v>
      </x:c>
    </x:row>
    <x:row r="104" ht="66" customHeight="1">
      <x:c r="A104" s="52" t="str">
        <x:v>UT-098</x:v>
      </x:c>
      <x:c r="B104" s="53" t="str">
        <x:v>ループ・件数
継続条件</x:v>
      </x:c>
      <x:c r="C104" s="53" t="str">
        <x:v>1000件を超えるときの再取得</x:v>
      </x:c>
      <x:c r="D104" s="54" t="n">
        <x:v>1</x:v>
      </x:c>
      <x:c r="E104" s="52" t="str">
        <x:v>正常</x:v>
      </x:c>
      <x:c r="F104" s="53" t="str">
        <x:v>1001件の対象を用意して実行する。</x:v>
      </x:c>
      <x:c r="G104" s="53" t="str">
        <x:v>実行回数／全件DB状態</x:v>
      </x:c>
      <x:c r="H104" s="53" t="str">
        <x:v>初回1000件処理後、残り1件を取得し、全件処理後にループ終了する。</x:v>
      </x:c>
      <x:c r="I104" s="53" t="str">
        <x:v>テストデータ：TD-20</x:v>
      </x:c>
    </x:row>
    <x:row r="105" ht="66" customHeight="1">
      <x:c r="A105" s="48" t="str">
        <x:v>UT-099</x:v>
      </x:c>
      <x:c r="B105" s="43" t="str">
        <x:v>ループ・件数
継続条件</x:v>
      </x:c>
      <x:c r="C105" s="43" t="str">
        <x:v>複数バッチの対象混在</x:v>
      </x:c>
      <x:c r="D105" s="50" t="n">
        <x:v>1</x:v>
      </x:c>
      <x:c r="E105" s="48" t="str">
        <x:v>正常</x:v>
      </x:c>
      <x:c r="F105" s="43" t="str">
        <x:v>対象年月と対象外年月の管理行を同数程度混在させ実行する。</x:v>
      </x:c>
      <x:c r="G105" s="43" t="str">
        <x:v>抽出履歴／DB差分</x:v>
      </x:c>
      <x:c r="H105" s="43" t="str">
        <x:v>対象年月の行のみ全件処理し、対象外月は更新しない。</x:v>
      </x:c>
      <x:c r="I105" s="43" t="str">
        <x:v>テストデータ：TD-66</x:v>
      </x:c>
    </x:row>
    <x:row r="106" ht="66" customHeight="1">
      <x:c r="A106" s="52" t="str">
        <x:v>UT-100</x:v>
      </x:c>
      <x:c r="B106" s="53" t="str">
        <x:v>ループ・件数
継続条件</x:v>
      </x:c>
      <x:c r="C106" s="53" t="str">
        <x:v>0件と重複データなし</x:v>
      </x:c>
      <x:c r="D106" s="54" t="n">
        <x:v>1</x:v>
      </x:c>
      <x:c r="E106" s="52" t="str">
        <x:v>正常</x:v>
      </x:c>
      <x:c r="F106" s="53" t="str">
        <x:v>対象0件の状態で複数回起動する。</x:v>
      </x:c>
      <x:c r="G106" s="53" t="str">
        <x:v>終了ログ／DB差分</x:v>
      </x:c>
      <x:c r="H106" s="53" t="str">
        <x:v>どの回も不要な登録・更新なく正常終了する。</x:v>
      </x:c>
      <x:c r="I106" s="53" t="str">
        <x:v>テストデータ：TD-09</x:v>
      </x:c>
    </x:row>
    <x:row r="107" ht="66" customHeight="1">
      <x:c r="A107" s="48" t="str">
        <x:v>UT-101</x:v>
      </x:c>
      <x:c r="B107" s="43" t="str">
        <x:v>ループ・件数
件数照合</x:v>
      </x:c>
      <x:c r="C107" s="43" t="str">
        <x:v>IN件数とOUT件数一致</x:v>
      </x:c>
      <x:c r="D107" s="50" t="n">
        <x:v>1</x:v>
      </x:c>
      <x:c r="E107" s="48" t="str">
        <x:v>正常</x:v>
      </x:c>
      <x:c r="F107" s="43" t="str">
        <x:v>処理対象が3地点の正常データを実行する。</x:v>
      </x:c>
      <x:c r="G107" s="43" t="str">
        <x:v>件数ログ／DB件数</x:v>
      </x:c>
      <x:c r="H107" s="43" t="str">
        <x:v>抽出件数・登録処理件数・管理更新件数が処理設計どおり整合する。</x:v>
      </x:c>
      <x:c r="I107" s="58" t="str">
        <x:v>テストデータ：TD-67
要確認：OUTは地点数か生データ日別件数か</x:v>
      </x:c>
    </x:row>
    <x:row r="108" ht="66" customHeight="1">
      <x:c r="A108" s="52" t="str">
        <x:v>UT-102</x:v>
      </x:c>
      <x:c r="B108" s="53" t="str">
        <x:v>ループ・件数
件数照合</x:v>
      </x:c>
      <x:c r="C108" s="53" t="str">
        <x:v>INSERT/UPDATE混在件数</x:v>
      </x:c>
      <x:c r="D108" s="54" t="n">
        <x:v>1</x:v>
      </x:c>
      <x:c r="E108" s="52" t="str">
        <x:v>正常</x:v>
      </x:c>
      <x:c r="F108" s="53" t="str">
        <x:v>新規2行・既存更新2行の条件で実行する。</x:v>
      </x:c>
      <x:c r="G108" s="53" t="str">
        <x:v>件数ログ／前後DB差分</x:v>
      </x:c>
      <x:c r="H108" s="53" t="str">
        <x:v>INSERT件数・UPDATE件数・管理更新件数が仕様上の単位で正しく記録される。</x:v>
      </x:c>
      <x:c r="I108" s="58" t="str">
        <x:v>テストデータ：TD-68
要確認：件数ログの粒度</x:v>
      </x:c>
    </x:row>
    <x:row r="109" ht="66" customHeight="1">
      <x:c r="A109" s="48" t="str">
        <x:v>UT-103</x:v>
      </x:c>
      <x:c r="B109" s="43" t="str">
        <x:v>ループ・件数
件数照合</x:v>
      </x:c>
      <x:c r="C109" s="43" t="str">
        <x:v>エラー混在件数</x:v>
      </x:c>
      <x:c r="D109" s="50" t="n">
        <x:v>1</x:v>
      </x:c>
      <x:c r="E109" s="48" t="str">
        <x:v>正常</x:v>
      </x:c>
      <x:c r="F109" s="43" t="str">
        <x:v>成功地点とエラー地点を混在させ実行する。</x:v>
      </x:c>
      <x:c r="G109" s="43" t="str">
        <x:v>件数ログ／管理テーブル</x:v>
      </x:c>
      <x:c r="H109" s="43" t="str">
        <x:v>成功・失敗・取得の件数が矛盾せず記録される。</x:v>
      </x:c>
      <x:c r="I109" s="58" t="str">
        <x:v>テストデータ：TD-60
要確認：異常時の件数カウント定義</x:v>
      </x:c>
    </x:row>
    <x:row r="110" ht="66" customHeight="1">
      <x:c r="A110" s="52" t="str">
        <x:v>UT-104</x:v>
      </x:c>
      <x:c r="B110" s="53" t="str">
        <x:v>ループ・件数
境界</x:v>
      </x:c>
      <x:c r="C110" s="53" t="str">
        <x:v>同一供給地点の複数日</x:v>
      </x:c>
      <x:c r="D110" s="54" t="n">
        <x:v>1</x:v>
      </x:c>
      <x:c r="E110" s="52" t="str">
        <x:v>正常</x:v>
      </x:c>
      <x:c r="F110" s="53" t="str">
        <x:v>1地点につき月内31日分のEPデータを用意して処理する。</x:v>
      </x:c>
      <x:c r="G110" s="53" t="str">
        <x:v>生データ件数／管理行件数</x:v>
      </x:c>
      <x:c r="H110" s="53" t="str">
        <x:v>地点の抽出は1件、日別生データは存在する日数分処理する。</x:v>
      </x:c>
      <x:c r="I110" s="58" t="str">
        <x:v>テストデータ：TD-69
要確認：UPSERT競合キー</x:v>
      </x:c>
    </x:row>
    <x:row r="111" ht="66" customHeight="1">
      <x:c r="A111" s="48" t="str">
        <x:v>UT-105</x:v>
      </x:c>
      <x:c r="B111" s="43" t="str">
        <x:v>ループ・件数
境界</x:v>
      </x:c>
      <x:c r="C111" s="43" t="str">
        <x:v>対象年月外データが大量</x:v>
      </x:c>
      <x:c r="D111" s="50" t="n">
        <x:v>1</x:v>
      </x:c>
      <x:c r="E111" s="48" t="str">
        <x:v>正常</x:v>
      </x:c>
      <x:c r="F111" s="43" t="str">
        <x:v>対象月外のEPデータを多く用意し、対象月内は1日だけ用意する。</x:v>
      </x:c>
      <x:c r="G111" s="43" t="str">
        <x:v>EP元データと生データの照合</x:v>
      </x:c>
      <x:c r="H111" s="43" t="str">
        <x:v>抽出・生データ登録対象は対象年月内に限定される。</x:v>
      </x:c>
      <x:c r="I111" s="43" t="str">
        <x:v>テストデータ：TD-70</x:v>
      </x:c>
    </x:row>
    <x:row r="112" ht="66" customHeight="1">
      <x:c r="A112" s="52" t="str">
        <x:v>UT-106</x:v>
      </x:c>
      <x:c r="B112" s="53" t="str">
        <x:v>ログ・結果検証
正常ログ</x:v>
      </x:c>
      <x:c r="C112" s="53" t="str">
        <x:v>INFO出力</x:v>
      </x:c>
      <x:c r="D112" s="54" t="n">
        <x:v>1</x:v>
      </x:c>
      <x:c r="E112" s="52" t="str">
        <x:v>正常</x:v>
      </x:c>
      <x:c r="F112" s="53" t="str">
        <x:v>正常に1件連携処理する。</x:v>
      </x:c>
      <x:c r="G112" s="53" t="str">
        <x:v>INFOログ全文</x:v>
      </x:c>
      <x:c r="H112" s="53" t="str">
        <x:v>仕様で必要とされる開始・終了・処理結果のINFOログが出力される。</x:v>
      </x:c>
      <x:c r="I112" s="58" t="str">
        <x:v>テストデータ：TD-01
要確認：ログ文言・イベントID</x:v>
      </x:c>
    </x:row>
    <x:row r="113" ht="66" customHeight="1">
      <x:c r="A113" s="48" t="str">
        <x:v>UT-107</x:v>
      </x:c>
      <x:c r="B113" s="43" t="str">
        <x:v>ログ・結果検証
正常ログ</x:v>
      </x:c>
      <x:c r="C113" s="43" t="str">
        <x:v>DEBUG出力</x:v>
      </x:c>
      <x:c r="D113" s="50" t="n">
        <x:v>1</x:v>
      </x:c>
      <x:c r="E113" s="48" t="str">
        <x:v>正常</x:v>
      </x:c>
      <x:c r="F113" s="43" t="str">
        <x:v>DEBUGログを有効にし、正常ケースを実行する。</x:v>
      </x:c>
      <x:c r="G113" s="43" t="str">
        <x:v>DEBUGログ全文</x:v>
      </x:c>
      <x:c r="H113" s="43" t="str">
        <x:v>DEBUGレベルに応じて必要な処理情報が記録される。</x:v>
      </x:c>
      <x:c r="I113" s="58" t="str">
        <x:v>テストデータ：TD-01
要確認：DEBUGログ出力点</x:v>
      </x:c>
    </x:row>
    <x:row r="114" ht="66" customHeight="1">
      <x:c r="A114" s="52" t="str">
        <x:v>UT-108</x:v>
      </x:c>
      <x:c r="B114" s="53" t="str">
        <x:v>ログ・結果検証
警告ログ</x:v>
      </x:c>
      <x:c r="C114" s="53" t="str">
        <x:v>WARNING出力</x:v>
      </x:c>
      <x:c r="D114" s="54" t="n">
        <x:v>1</x:v>
      </x:c>
      <x:c r="E114" s="52" t="str">
        <x:v>正常</x:v>
      </x:c>
      <x:c r="F114" s="53" t="str">
        <x:v>警告が発生する条件を準備して実行する。</x:v>
      </x:c>
      <x:c r="G114" s="53" t="str">
        <x:v>WARNINGログ全文</x:v>
      </x:c>
      <x:c r="H114" s="53" t="str">
        <x:v>警告条件に応じたWARNINGログが出力され、処理判定と整合する。</x:v>
      </x:c>
      <x:c r="I114" s="58" t="str">
        <x:v>テストデータ：TD-71
要確認：WARNINGが発生する業務条件</x:v>
      </x:c>
    </x:row>
    <x:row r="115" ht="66" customHeight="1">
      <x:c r="A115" s="48" t="str">
        <x:v>UT-109</x:v>
      </x:c>
      <x:c r="B115" s="43" t="str">
        <x:v>ログ・結果検証
異常ログ</x:v>
      </x:c>
      <x:c r="C115" s="43" t="str">
        <x:v>ERROR出力</x:v>
      </x:c>
      <x:c r="D115" s="50" t="n">
        <x:v>1</x:v>
      </x:c>
      <x:c r="E115" s="48" t="str">
        <x:v>異常</x:v>
      </x:c>
      <x:c r="F115" s="43" t="str">
        <x:v>CASTエラーまたはDBエラーを発生させる。</x:v>
      </x:c>
      <x:c r="G115" s="43" t="str">
        <x:v>ERRORログ全文</x:v>
      </x:c>
      <x:c r="H115" s="43" t="str">
        <x:v>ERRORログに原因箇所・例外情報が記録される。</x:v>
      </x:c>
      <x:c r="I115" s="43" t="str">
        <x:v>テストデータ：TD-58</x:v>
      </x:c>
    </x:row>
    <x:row r="116" ht="66" customHeight="1">
      <x:c r="A116" s="52" t="str">
        <x:v>UT-110</x:v>
      </x:c>
      <x:c r="B116" s="53" t="str">
        <x:v>ログ・結果検証
異常ログ</x:v>
      </x:c>
      <x:c r="C116" s="53" t="str">
        <x:v>例外情報の保存</x:v>
      </x:c>
      <x:c r="D116" s="54" t="n">
        <x:v>1</x:v>
      </x:c>
      <x:c r="E116" s="52" t="str">
        <x:v>異常</x:v>
      </x:c>
      <x:c r="F116" s="53" t="str">
        <x:v>例外注入後にエラー内容・処理地点を照会する。</x:v>
      </x:c>
      <x:c r="G116" s="53" t="str">
        <x:v>ログと管理テーブル照合</x:v>
      </x:c>
      <x:c r="H116" s="53" t="str">
        <x:v>ログと紐付けエラーメッセージが当該供給地点・失敗原因に対応する。</x:v>
      </x:c>
      <x:c r="I116" s="53" t="str">
        <x:v>テストデータ：TD-58</x:v>
      </x:c>
    </x:row>
    <x:row r="117" ht="66" customHeight="1">
      <x:c r="A117" s="48" t="str">
        <x:v>UT-111</x:v>
      </x:c>
      <x:c r="B117" s="43" t="str">
        <x:v>ログ・結果検証
回帰</x:v>
      </x:c>
      <x:c r="C117" s="43" t="str">
        <x:v>再実行時の冪等性</x:v>
      </x:c>
      <x:c r="D117" s="50" t="n">
        <x:v>1</x:v>
      </x:c>
      <x:c r="E117" s="48" t="str">
        <x:v>正常</x:v>
      </x:c>
      <x:c r="F117" s="43" t="str">
        <x:v>正常処理完了後に同じ年月で再実行する。</x:v>
      </x:c>
      <x:c r="G117" s="43" t="str">
        <x:v>再実行前後DB差分</x:v>
      </x:c>
      <x:c r="H117" s="43" t="str">
        <x:v>処理済行は再取得されず、生データの不要な重複／追加を発生させない。</x:v>
      </x:c>
      <x:c r="I117" s="43" t="str">
        <x:v>テストデータ：TD-01</x:v>
      </x:c>
    </x:row>
    <x:row r="118" ht="66" customHeight="1">
      <x:c r="A118" s="52" t="str">
        <x:v>UT-112</x:v>
      </x:c>
      <x:c r="B118" s="53" t="str">
        <x:v>ログ・結果検証
回帰</x:v>
      </x:c>
      <x:c r="C118" s="53" t="str">
        <x:v>別地点に影響しない</x:v>
      </x:c>
      <x:c r="D118" s="54" t="n">
        <x:v>1</x:v>
      </x:c>
      <x:c r="E118" s="52" t="str">
        <x:v>正常</x:v>
      </x:c>
      <x:c r="F118" s="53" t="str">
        <x:v>正常処理と異常処理にそれぞれ別地点を準備して実行する。</x:v>
      </x:c>
      <x:c r="G118" s="53" t="str">
        <x:v>テーブル全体DB差分</x:v>
      </x:c>
      <x:c r="H118" s="53" t="str">
        <x:v>全地点の生データ／管理テーブルを照会し、対象外行への変更がない。</x:v>
      </x:c>
      <x:c r="I118" s="53" t="str">
        <x:v>テストデータ：TD-72</x:v>
      </x:c>
    </x:row>
    <x:row r="120" ht="25" customHeight="1">
      <x:c r="A120" s="61" t="str">
        <x:v>合計ケース数</x:v>
      </x:c>
      <x:c r="B120" s="61"/>
      <x:c r="C120" s="61"/>
      <x:c r="D120" s="61" t="n">
        <x:f>SUM(D7:D118)</x:f>
        <x:v>112</x:v>
      </x:c>
      <x:c r="E120" s="61"/>
      <x:c r="F120" s="61"/>
      <x:c r="G120" s="61"/>
      <x:c r="H120" s="61"/>
      <x:c r="I120" s="61"/>
    </x:row>
  </x:sheetData>
  <x:mergeCells>
    <x:mergeCell ref="A1:C1"/>
    <x:mergeCell ref="H3:I3"/>
    <x:mergeCell ref="A4:G4"/>
    <x:mergeCell ref="A5:B5"/>
    <x:mergeCell ref="C5:D5"/>
    <x:mergeCell ref="E5:G5"/>
    <x:mergeCell ref="H5:I5"/>
    <x:mergeCell ref="A120:C120"/>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8" hidden="0" customWidth="1"/>
    <x:col min="2" max="2" width="20" hidden="0" customWidth="1"/>
    <x:col min="3" max="3" width="71" hidden="0" customWidth="1"/>
    <x:col min="4" max="4" width="33" hidden="0" customWidth="1"/>
    <x:col min="5" max="5" width="19" hidden="0" customWidth="1"/>
    <x:col min="6" max="6" width="50" hidden="0" customWidth="1"/>
  </x:cols>
  <x:sheetData>
    <x:row r="1" ht="37" customHeight="1">
      <x:c r="A1" s="13" t="str">
        <x:v>基本手順</x:v>
      </x:c>
      <x:c r="B1" s="13"/>
      <x:c r="C1" s="13"/>
      <x:c r="D1" s="13"/>
      <x:c r="E1" s="13"/>
      <x:c r="F1" s="13"/>
    </x:row>
    <x:row r="2" ht="25" customHeight="1">
      <x:c r="A2" t="str">
        <x:v>実行前にテストデータ準備一覧（TD-ID）を確認し、対象データの投入／結果採取／後片付けを行う。</x:v>
      </x:c>
    </x:row>
    <x:row r="4" ht="28" customHeight="1">
      <x:c r="A4" s="65" t="str">
        <x:v>No.</x:v>
      </x:c>
      <x:c r="B4" s="65" t="str">
        <x:v>工程</x:v>
      </x:c>
      <x:c r="C4" s="65" t="str">
        <x:v>操作</x:v>
      </x:c>
      <x:c r="D4" s="65" t="str">
        <x:v>エビデンス</x:v>
      </x:c>
      <x:c r="E4" s="65" t="str">
        <x:v>完了チェック</x:v>
      </x:c>
      <x:c r="F4" s="65" t="str">
        <x:v>補足</x:v>
      </x:c>
    </x:row>
    <x:row r="5" ht="63" customHeight="1">
      <x:c r="A5" s="70" t="n">
        <x:v>1</x:v>
      </x:c>
      <x:c r="B5" s="70" t="str">
        <x:v>対象ケース確認</x:v>
      </x:c>
      <x:c r="C5" s="70" t="str">
        <x:v>一覧表のUT番号・対象条件・期待結果・備考を確認する。</x:v>
      </x:c>
      <x:c r="D5" s="70" t="str">
        <x:v>対象UT番号・期待結果</x:v>
      </x:c>
      <x:c r="E5" s="70"/>
      <x:c r="F5" s="70" t="str">
        <x:v>仕様確認が必要なケースは実施前にレビュー</x:v>
      </x:c>
    </x:row>
    <x:row r="6" ht="63" customHeight="1">
      <x:c r="A6" s="70" t="n">
        <x:v>2</x:v>
      </x:c>
      <x:c r="B6" s="70" t="str">
        <x:v>事前状態記録</x:v>
      </x:c>
      <x:c r="C6" s="70" t="str">
        <x:v>テストデータ準備一覧のTD-IDに従い、DB上の既存データ・紐付け状態を確認する。</x:v>
      </x:c>
      <x:c r="D6" s="70" t="str">
        <x:v>SELECT結果・更新前の行</x:v>
      </x:c>
      <x:c r="E6" s="70"/>
      <x:c r="F6" s="70" t="str">
        <x:v>他ケースと干渉しないよう供給地点特定番号を区別</x:v>
      </x:c>
    </x:row>
    <x:row r="7" ht="63" customHeight="1">
      <x:c r="A7" s="70" t="n">
        <x:v>3</x:v>
      </x:c>
      <x:c r="B7" s="70" t="str">
        <x:v>テストデータ投入</x:v>
      </x:c>
      <x:c r="C7" s="70" t="str">
        <x:v>取込管理、建物マスタ、企業情報、ARVE顧客情報、EP30分値を条件どおり設定する。</x:v>
      </x:c>
      <x:c r="D7" s="70" t="str">
        <x:v>投入SQL・投入後SELECT</x:v>
      </x:c>
      <x:c r="E7" s="70"/>
      <x:c r="F7" s="70" t="str">
        <x:v>投入対象はケース条件によって異なる</x:v>
      </x:c>
    </x:row>
    <x:row r="8" ht="63" customHeight="1">
      <x:c r="A8" s="70" t="n">
        <x:v>4</x:v>
      </x:c>
      <x:c r="B8" s="70" t="str">
        <x:v>実行</x:v>
      </x:c>
      <x:c r="C8" s="70" t="str">
        <x:v>バッチを対象環境の手順で実行する（起動引数・日時・実行者はケースに従う）。</x:v>
      </x:c>
      <x:c r="D8" s="70" t="str">
        <x:v>実行コマンド／ジョブ履歴</x:v>
      </x:c>
      <x:c r="E8" s="70"/>
      <x:c r="F8" s="70" t="str">
        <x:v>画像内の「docker実行」は参考例。実行方式は環境に合わせる</x:v>
      </x:c>
    </x:row>
    <x:row r="9" ht="63" customHeight="1">
      <x:c r="A9" s="70" t="n">
        <x:v>5</x:v>
      </x:c>
      <x:c r="B9" s="70" t="str">
        <x:v>DB・ログ確認</x:v>
      </x:c>
      <x:c r="C9" s="70" t="str">
        <x:v>登録先の30分値の生データ情報と30分値取込管理を照会し、正常系・異常系ログを確認する。</x:v>
      </x:c>
      <x:c r="D9" s="70" t="str">
        <x:v>更新前後SQL・ログ</x:v>
      </x:c>
      <x:c r="E9" s="70"/>
      <x:c r="F9" s="70" t="str">
        <x:v>UPSERT後に作成者、更新者、紐付け日時等も確認</x:v>
      </x:c>
    </x:row>
    <x:row r="10" ht="63" customHeight="1">
      <x:c r="A10" s="70" t="n">
        <x:v>6</x:v>
      </x:c>
      <x:c r="B10" s="70" t="str">
        <x:v>予想結果と照合</x:v>
      </x:c>
      <x:c r="C10" s="70" t="str">
        <x:v>新フォーマットの予想結果と照合し、1ケースごとにOK/NG/保留を判定する。</x:v>
      </x:c>
      <x:c r="D10" s="70" t="str">
        <x:v>判定根拠、差分</x:v>
      </x:c>
      <x:c r="E10" s="70"/>
      <x:c r="F10" s="70" t="str">
        <x:v>未確定仕様に対し独断でOKとしない</x:v>
      </x:c>
    </x:row>
    <x:row r="11" ht="63" customHeight="1">
      <x:c r="A11" s="70" t="n">
        <x:v>7</x:v>
      </x:c>
      <x:c r="B11" s="70" t="str">
        <x:v>実施結果登録</x:v>
      </x:c>
      <x:c r="C11" s="70" t="str">
        <x:v>「実施結果管理」でケース番号の結果、実施日、担当者、結果詳細、証跡リンクを記録する。</x:v>
      </x:c>
      <x:c r="D11" s="70" t="str">
        <x:v>実施結果管理シート</x:v>
      </x:c>
      <x:c r="E11" s="70"/>
      <x:c r="F11" s="70" t="str">
        <x:v>実施サマリーに集計</x:v>
      </x:c>
    </x:row>
    <x:row r="12" ht="63" customHeight="1">
      <x:c r="A12" s="70" t="n">
        <x:v>8</x:v>
      </x:c>
      <x:c r="B12" s="70" t="str">
        <x:v>後片付け</x:v>
      </x:c>
      <x:c r="C12" s="70" t="str">
        <x:v>投入データをロールバックまたは削除し、次ケースへの干渉を防ぐ。</x:v>
      </x:c>
      <x:c r="D12" s="70" t="str">
        <x:v>再照会結果・リセット手順</x:v>
      </x:c>
      <x:c r="E12" s="70"/>
      <x:c r="F12" s="70" t="str">
        <x:v>必要なエビデンスを保存してから実施</x:v>
      </x:c>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5" hidden="0" customWidth="1"/>
    <x:col min="2" max="2" width="37" hidden="0" customWidth="1"/>
    <x:col min="3" max="3" width="15" hidden="0" customWidth="1"/>
    <x:col min="4" max="4" width="15" hidden="0" customWidth="1"/>
    <x:col min="5" max="5" width="16" hidden="0" customWidth="1"/>
    <x:col min="6" max="6" width="17" hidden="0" customWidth="1"/>
    <x:col min="7" max="7" width="58" hidden="0" customWidth="1"/>
    <x:col min="8" max="8" width="36" hidden="0" customWidth="1"/>
    <x:col min="9" max="9" width="58" hidden="0" customWidth="1"/>
    <x:col min="10" max="10" width="27" hidden="0" customWidth="1"/>
  </x:cols>
  <x:sheetData>
    <x:row r="1" ht="37" customHeight="1">
      <x:c r="A1" s="13" t="str">
        <x:v>単体テスト　実施結果管理</x:v>
      </x:c>
      <x:c r="B1" s="13"/>
      <x:c r="C1" s="13"/>
      <x:c r="D1" s="13"/>
      <x:c r="E1" s="13"/>
      <x:c r="F1" s="13"/>
      <x:c r="G1" s="13"/>
      <x:c r="H1" s="13"/>
      <x:c r="I1" s="13"/>
      <x:c r="J1" s="13"/>
    </x:row>
    <x:row r="2">
      <x:c r="A2" t="str">
        <x:v>テンプレート（PG2-1-01）に判定欄がないため、テスト結果はこのシートに保持します。黄色セルは手入力欄です。</x:v>
      </x:c>
    </x:row>
    <x:row r="3" ht="29" customHeight="1">
      <x:c r="A3" s="75" t="str">
        <x:v>ケース番号</x:v>
      </x:c>
      <x:c r="B3" s="75" t="str">
        <x:v>テスト内容</x:v>
      </x:c>
      <x:c r="C3" s="75" t="str">
        <x:v>正常／異常</x:v>
      </x:c>
      <x:c r="D3" s="75" t="str">
        <x:v>実施結果</x:v>
      </x:c>
      <x:c r="E3" s="75" t="str">
        <x:v>実施日</x:v>
      </x:c>
      <x:c r="F3" s="75" t="str">
        <x:v>実施者</x:v>
      </x:c>
      <x:c r="G3" s="75" t="str">
        <x:v>実績・差分</x:v>
      </x:c>
      <x:c r="H3" s="75" t="str">
        <x:v>エビデンス保存先</x:v>
      </x:c>
      <x:c r="I3" s="75" t="str">
        <x:v>備考・仕様確認</x:v>
      </x:c>
      <x:c r="J3" s="75" t="str">
        <x:v>大分類</x:v>
      </x:c>
    </x:row>
    <x:row r="4" ht="50" customHeight="1">
      <x:c r="A4" s="79" t="str">
        <x:v>UT-001</x:v>
      </x:c>
      <x:c r="B4" s="79" t="str">
        <x:v>正常起動</x:v>
      </x:c>
      <x:c r="C4" s="79" t="str">
        <x:v>正常</x:v>
      </x:c>
      <x:c r="D4" s="82" t="str">
        <x:v>未実施</x:v>
      </x:c>
      <x:c r="E4" s="84"/>
      <x:c r="F4" s="82"/>
      <x:c r="G4" s="82"/>
      <x:c r="H4" s="82"/>
      <x:c r="I4" s="82" t="str"/>
      <x:c r="J4" s="79" t="str">
        <x:v>実行年月・対象年月</x:v>
      </x:c>
    </x:row>
    <x:row r="5" ht="50" customHeight="1">
      <x:c r="A5" s="79" t="str">
        <x:v>UT-002</x:v>
      </x:c>
      <x:c r="B5" s="79" t="str">
        <x:v>処理対象なしで起動</x:v>
      </x:c>
      <x:c r="C5" s="79" t="str">
        <x:v>正常</x:v>
      </x:c>
      <x:c r="D5" s="82" t="str">
        <x:v>未実施</x:v>
      </x:c>
      <x:c r="E5" s="84"/>
      <x:c r="F5" s="82"/>
      <x:c r="G5" s="82"/>
      <x:c r="H5" s="82"/>
      <x:c r="I5" s="82" t="str"/>
      <x:c r="J5" s="79" t="str">
        <x:v>実行年月・対象年月</x:v>
      </x:c>
    </x:row>
    <x:row r="6" ht="50" customHeight="1">
      <x:c r="A6" s="79" t="str">
        <x:v>UT-003</x:v>
      </x:c>
      <x:c r="B6" s="79" t="str">
        <x:v>1日（下限）</x:v>
      </x:c>
      <x:c r="C6" s="79" t="str">
        <x:v>正常</x:v>
      </x:c>
      <x:c r="D6" s="82" t="str">
        <x:v>未実施</x:v>
      </x:c>
      <x:c r="E6" s="84"/>
      <x:c r="F6" s="82"/>
      <x:c r="G6" s="82"/>
      <x:c r="H6" s="82"/>
      <x:c r="I6" s="82" t="str"/>
      <x:c r="J6" s="79" t="str">
        <x:v>実行年月・対象年月</x:v>
      </x:c>
    </x:row>
    <x:row r="7" ht="50" customHeight="1">
      <x:c r="A7" s="79" t="str">
        <x:v>UT-004</x:v>
      </x:c>
      <x:c r="B7" s="79" t="str">
        <x:v>18日（境界前）</x:v>
      </x:c>
      <x:c r="C7" s="79" t="str">
        <x:v>正常</x:v>
      </x:c>
      <x:c r="D7" s="82" t="str">
        <x:v>未実施</x:v>
      </x:c>
      <x:c r="E7" s="84"/>
      <x:c r="F7" s="82"/>
      <x:c r="G7" s="82"/>
      <x:c r="H7" s="82"/>
      <x:c r="I7" s="82" t="str"/>
      <x:c r="J7" s="79" t="str">
        <x:v>実行年月・対象年月</x:v>
      </x:c>
    </x:row>
    <x:row r="8" ht="50" customHeight="1">
      <x:c r="A8" s="79" t="str">
        <x:v>UT-005</x:v>
      </x:c>
      <x:c r="B8" s="79" t="str">
        <x:v>19日（境界後）</x:v>
      </x:c>
      <x:c r="C8" s="79" t="str">
        <x:v>正常</x:v>
      </x:c>
      <x:c r="D8" s="82" t="str">
        <x:v>未実施</x:v>
      </x:c>
      <x:c r="E8" s="84"/>
      <x:c r="F8" s="82"/>
      <x:c r="G8" s="82"/>
      <x:c r="H8" s="82"/>
      <x:c r="I8" s="82" t="str"/>
      <x:c r="J8" s="79" t="str">
        <x:v>実行年月・対象年月</x:v>
      </x:c>
    </x:row>
    <x:row r="9" ht="50" customHeight="1">
      <x:c r="A9" s="79" t="str">
        <x:v>UT-006</x:v>
      </x:c>
      <x:c r="B9" s="79" t="str">
        <x:v>月末日（上限）</x:v>
      </x:c>
      <x:c r="C9" s="79" t="str">
        <x:v>正常</x:v>
      </x:c>
      <x:c r="D9" s="82" t="str">
        <x:v>未実施</x:v>
      </x:c>
      <x:c r="E9" s="84"/>
      <x:c r="F9" s="82"/>
      <x:c r="G9" s="82"/>
      <x:c r="H9" s="82"/>
      <x:c r="I9" s="82" t="str"/>
      <x:c r="J9" s="79" t="str">
        <x:v>実行年月・対象年月</x:v>
      </x:c>
    </x:row>
    <x:row r="10" ht="50" customHeight="1">
      <x:c r="A10" s="79" t="str">
        <x:v>UT-007</x:v>
      </x:c>
      <x:c r="B10" s="79" t="str">
        <x:v>年またぎ（1月18日）</x:v>
      </x:c>
      <x:c r="C10" s="79" t="str">
        <x:v>正常</x:v>
      </x:c>
      <x:c r="D10" s="82" t="str">
        <x:v>未実施</x:v>
      </x:c>
      <x:c r="E10" s="84"/>
      <x:c r="F10" s="82"/>
      <x:c r="G10" s="82"/>
      <x:c r="H10" s="82"/>
      <x:c r="I10" s="82" t="str"/>
      <x:c r="J10" s="79" t="str">
        <x:v>実行年月・対象年月</x:v>
      </x:c>
    </x:row>
    <x:row r="11" ht="50" customHeight="1">
      <x:c r="A11" s="79" t="str">
        <x:v>UT-008</x:v>
      </x:c>
      <x:c r="B11" s="79" t="str">
        <x:v>年またぎ（1月19日）</x:v>
      </x:c>
      <x:c r="C11" s="79" t="str">
        <x:v>正常</x:v>
      </x:c>
      <x:c r="D11" s="82" t="str">
        <x:v>未実施</x:v>
      </x:c>
      <x:c r="E11" s="84"/>
      <x:c r="F11" s="82"/>
      <x:c r="G11" s="82"/>
      <x:c r="H11" s="82"/>
      <x:c r="I11" s="82" t="str"/>
      <x:c r="J11" s="79" t="str">
        <x:v>実行年月・対象年月</x:v>
      </x:c>
    </x:row>
    <x:row r="12" ht="50" customHeight="1">
      <x:c r="A12" s="79" t="str">
        <x:v>UT-009</x:v>
      </x:c>
      <x:c r="B12" s="79" t="str">
        <x:v>うるう年・月末</x:v>
      </x:c>
      <x:c r="C12" s="79" t="str">
        <x:v>正常</x:v>
      </x:c>
      <x:c r="D12" s="82" t="str">
        <x:v>未実施</x:v>
      </x:c>
      <x:c r="E12" s="84"/>
      <x:c r="F12" s="82"/>
      <x:c r="G12" s="82"/>
      <x:c r="H12" s="82"/>
      <x:c r="I12" s="82" t="str"/>
      <x:c r="J12" s="79" t="str">
        <x:v>実行年月・対象年月</x:v>
      </x:c>
    </x:row>
    <x:row r="13" ht="50" customHeight="1">
      <x:c r="A13" s="79" t="str">
        <x:v>UT-010</x:v>
      </x:c>
      <x:c r="B13" s="79" t="str">
        <x:v>実行者の設定</x:v>
      </x:c>
      <x:c r="C13" s="79" t="str">
        <x:v>正常</x:v>
      </x:c>
      <x:c r="D13" s="82" t="str">
        <x:v>未実施</x:v>
      </x:c>
      <x:c r="E13" s="84"/>
      <x:c r="F13" s="82"/>
      <x:c r="G13" s="82"/>
      <x:c r="H13" s="82"/>
      <x:c r="I13" s="82" t="str"/>
      <x:c r="J13" s="79" t="str">
        <x:v>実行年月・対象年月</x:v>
      </x:c>
    </x:row>
    <x:row r="14" ht="50" customHeight="1">
      <x:c r="A14" s="79" t="str">
        <x:v>UT-011</x:v>
      </x:c>
      <x:c r="B14" s="79" t="str">
        <x:v>全条件一致（1件）</x:v>
      </x:c>
      <x:c r="C14" s="79" t="str">
        <x:v>正常</x:v>
      </x:c>
      <x:c r="D14" s="82" t="str">
        <x:v>未実施</x:v>
      </x:c>
      <x:c r="E14" s="84"/>
      <x:c r="F14" s="82"/>
      <x:c r="G14" s="82"/>
      <x:c r="H14" s="82"/>
      <x:c r="I14" s="82" t="str"/>
      <x:c r="J14" s="79" t="str">
        <x:v>処理対象取得</x:v>
      </x:c>
    </x:row>
    <x:row r="15" ht="50" customHeight="1">
      <x:c r="A15" s="79" t="str">
        <x:v>UT-012</x:v>
      </x:c>
      <x:c r="B15" s="79" t="str">
        <x:v>状態が3以外</x:v>
      </x:c>
      <x:c r="C15" s="79" t="str">
        <x:v>正常</x:v>
      </x:c>
      <x:c r="D15" s="82" t="str">
        <x:v>未実施</x:v>
      </x:c>
      <x:c r="E15" s="84"/>
      <x:c r="F15" s="82"/>
      <x:c r="G15" s="82"/>
      <x:c r="H15" s="82"/>
      <x:c r="I15" s="82" t="str"/>
      <x:c r="J15" s="79" t="str">
        <x:v>処理対象取得</x:v>
      </x:c>
    </x:row>
    <x:row r="16" ht="50" customHeight="1">
      <x:c r="A16" s="79" t="str">
        <x:v>UT-013</x:v>
      </x:c>
      <x:c r="B16" s="79" t="str">
        <x:v>状態がNULL</x:v>
      </x:c>
      <x:c r="C16" s="79" t="str">
        <x:v>正常</x:v>
      </x:c>
      <x:c r="D16" s="82" t="str">
        <x:v>未実施</x:v>
      </x:c>
      <x:c r="E16" s="84"/>
      <x:c r="F16" s="82"/>
      <x:c r="G16" s="82"/>
      <x:c r="H16" s="82"/>
      <x:c r="I16" s="82" t="str">
        <x:v>NULL許容制約がある場合のみ実施</x:v>
      </x:c>
      <x:c r="J16" s="79" t="str">
        <x:v>処理対象取得</x:v>
      </x:c>
    </x:row>
    <x:row r="17" ht="50" customHeight="1">
      <x:c r="A17" s="79" t="str">
        <x:v>UT-014</x:v>
      </x:c>
      <x:c r="B17" s="79" t="str">
        <x:v>対象年月不一致</x:v>
      </x:c>
      <x:c r="C17" s="79" t="str">
        <x:v>正常</x:v>
      </x:c>
      <x:c r="D17" s="82" t="str">
        <x:v>未実施</x:v>
      </x:c>
      <x:c r="E17" s="84"/>
      <x:c r="F17" s="82"/>
      <x:c r="G17" s="82"/>
      <x:c r="H17" s="82"/>
      <x:c r="I17" s="82" t="str"/>
      <x:c r="J17" s="79" t="str">
        <x:v>処理対象取得</x:v>
      </x:c>
    </x:row>
    <x:row r="18" ht="50" customHeight="1">
      <x:c r="A18" s="79" t="str">
        <x:v>UT-015</x:v>
      </x:c>
      <x:c r="B18" s="79" t="str">
        <x:v>紐付け日時あり</x:v>
      </x:c>
      <x:c r="C18" s="79" t="str">
        <x:v>正常</x:v>
      </x:c>
      <x:c r="D18" s="82" t="str">
        <x:v>未実施</x:v>
      </x:c>
      <x:c r="E18" s="84"/>
      <x:c r="F18" s="82"/>
      <x:c r="G18" s="82"/>
      <x:c r="H18" s="82"/>
      <x:c r="I18" s="82" t="str"/>
      <x:c r="J18" s="79" t="str">
        <x:v>処理対象取得</x:v>
      </x:c>
    </x:row>
    <x:row r="19" ht="50" customHeight="1">
      <x:c r="A19" s="79" t="str">
        <x:v>UT-016</x:v>
      </x:c>
      <x:c r="B19" s="79" t="str">
        <x:v>紐付け日時空文字</x:v>
      </x:c>
      <x:c r="C19" s="79" t="str">
        <x:v>正常</x:v>
      </x:c>
      <x:c r="D19" s="82" t="str">
        <x:v>未実施</x:v>
      </x:c>
      <x:c r="E19" s="84"/>
      <x:c r="F19" s="82"/>
      <x:c r="G19" s="82"/>
      <x:c r="H19" s="82"/>
      <x:c r="I19" s="82" t="str">
        <x:v>日時列が空文字非許容なら実施対象外</x:v>
      </x:c>
      <x:c r="J19" s="79" t="str">
        <x:v>処理対象取得</x:v>
      </x:c>
    </x:row>
    <x:row r="20" ht="50" customHeight="1">
      <x:c r="A20" s="79" t="str">
        <x:v>UT-017</x:v>
      </x:c>
      <x:c r="B20" s="79" t="str">
        <x:v>建物マスタの紐付けあり</x:v>
      </x:c>
      <x:c r="C20" s="79" t="str">
        <x:v>正常</x:v>
      </x:c>
      <x:c r="D20" s="82" t="str">
        <x:v>未実施</x:v>
      </x:c>
      <x:c r="E20" s="84"/>
      <x:c r="F20" s="82"/>
      <x:c r="G20" s="82"/>
      <x:c r="H20" s="82"/>
      <x:c r="I20" s="82" t="str"/>
      <x:c r="J20" s="79" t="str">
        <x:v>処理対象取得</x:v>
      </x:c>
    </x:row>
    <x:row r="21" ht="50" customHeight="1">
      <x:c r="A21" s="79" t="str">
        <x:v>UT-018</x:v>
      </x:c>
      <x:c r="B21" s="79" t="str">
        <x:v>建物マスタなし</x:v>
      </x:c>
      <x:c r="C21" s="79" t="str">
        <x:v>正常</x:v>
      </x:c>
      <x:c r="D21" s="82" t="str">
        <x:v>未実施</x:v>
      </x:c>
      <x:c r="E21" s="84"/>
      <x:c r="F21" s="82"/>
      <x:c r="G21" s="82"/>
      <x:c r="H21" s="82"/>
      <x:c r="I21" s="82" t="str"/>
      <x:c r="J21" s="79" t="str">
        <x:v>処理対象取得</x:v>
      </x:c>
    </x:row>
    <x:row r="22" ht="50" customHeight="1">
      <x:c r="A22" s="79" t="str">
        <x:v>UT-019</x:v>
      </x:c>
      <x:c r="B22" s="79" t="str">
        <x:v>建物マスタ削除フラグTRUE</x:v>
      </x:c>
      <x:c r="C22" s="79" t="str">
        <x:v>正常</x:v>
      </x:c>
      <x:c r="D22" s="82" t="str">
        <x:v>未実施</x:v>
      </x:c>
      <x:c r="E22" s="84"/>
      <x:c r="F22" s="82"/>
      <x:c r="G22" s="82"/>
      <x:c r="H22" s="82"/>
      <x:c r="I22" s="82" t="str"/>
      <x:c r="J22" s="79" t="str">
        <x:v>処理対象取得</x:v>
      </x:c>
    </x:row>
    <x:row r="23" ht="50" customHeight="1">
      <x:c r="A23" s="79" t="str">
        <x:v>UT-020</x:v>
      </x:c>
      <x:c r="B23" s="79" t="str">
        <x:v>建物マスタ削除フラグFALSE</x:v>
      </x:c>
      <x:c r="C23" s="79" t="str">
        <x:v>正常</x:v>
      </x:c>
      <x:c r="D23" s="82" t="str">
        <x:v>未実施</x:v>
      </x:c>
      <x:c r="E23" s="84"/>
      <x:c r="F23" s="82"/>
      <x:c r="G23" s="82"/>
      <x:c r="H23" s="82"/>
      <x:c r="I23" s="82" t="str"/>
      <x:c r="J23" s="79" t="str">
        <x:v>処理対象取得</x:v>
      </x:c>
    </x:row>
    <x:row r="24" ht="50" customHeight="1">
      <x:c r="A24" s="79" t="str">
        <x:v>UT-021</x:v>
      </x:c>
      <x:c r="B24" s="79" t="str">
        <x:v>供給地点特定番号不一致</x:v>
      </x:c>
      <x:c r="C24" s="79" t="str">
        <x:v>正常</x:v>
      </x:c>
      <x:c r="D24" s="82" t="str">
        <x:v>未実施</x:v>
      </x:c>
      <x:c r="E24" s="84"/>
      <x:c r="F24" s="82"/>
      <x:c r="G24" s="82"/>
      <x:c r="H24" s="82"/>
      <x:c r="I24" s="82" t="str"/>
      <x:c r="J24" s="79" t="str">
        <x:v>処理対象取得</x:v>
      </x:c>
    </x:row>
    <x:row r="25" ht="50" customHeight="1">
      <x:c r="A25" s="79" t="str">
        <x:v>UT-022</x:v>
      </x:c>
      <x:c r="B25" s="79" t="str">
        <x:v>処理対象0件</x:v>
      </x:c>
      <x:c r="C25" s="79" t="str">
        <x:v>正常</x:v>
      </x:c>
      <x:c r="D25" s="82" t="str">
        <x:v>未実施</x:v>
      </x:c>
      <x:c r="E25" s="84"/>
      <x:c r="F25" s="82"/>
      <x:c r="G25" s="82"/>
      <x:c r="H25" s="82"/>
      <x:c r="I25" s="82" t="str"/>
      <x:c r="J25" s="79" t="str">
        <x:v>処理対象取得</x:v>
      </x:c>
    </x:row>
    <x:row r="26" ht="50" customHeight="1">
      <x:c r="A26" s="79" t="str">
        <x:v>UT-023</x:v>
      </x:c>
      <x:c r="B26" s="79" t="str">
        <x:v>処理対象1件</x:v>
      </x:c>
      <x:c r="C26" s="79" t="str">
        <x:v>正常</x:v>
      </x:c>
      <x:c r="D26" s="82" t="str">
        <x:v>未実施</x:v>
      </x:c>
      <x:c r="E26" s="84"/>
      <x:c r="F26" s="82"/>
      <x:c r="G26" s="82"/>
      <x:c r="H26" s="82"/>
      <x:c r="I26" s="82" t="str"/>
      <x:c r="J26" s="79" t="str">
        <x:v>処理対象取得</x:v>
      </x:c>
    </x:row>
    <x:row r="27" ht="50" customHeight="1">
      <x:c r="A27" s="79" t="str">
        <x:v>UT-024</x:v>
      </x:c>
      <x:c r="B27" s="79" t="str">
        <x:v>処理対象999件</x:v>
      </x:c>
      <x:c r="C27" s="79" t="str">
        <x:v>正常</x:v>
      </x:c>
      <x:c r="D27" s="82" t="str">
        <x:v>未実施</x:v>
      </x:c>
      <x:c r="E27" s="84"/>
      <x:c r="F27" s="82"/>
      <x:c r="G27" s="82"/>
      <x:c r="H27" s="82"/>
      <x:c r="I27" s="82" t="str"/>
      <x:c r="J27" s="79" t="str">
        <x:v>処理対象取得</x:v>
      </x:c>
    </x:row>
    <x:row r="28" ht="50" customHeight="1">
      <x:c r="A28" s="79" t="str">
        <x:v>UT-025</x:v>
      </x:c>
      <x:c r="B28" s="79" t="str">
        <x:v>処理対象1000件</x:v>
      </x:c>
      <x:c r="C28" s="79" t="str">
        <x:v>正常</x:v>
      </x:c>
      <x:c r="D28" s="82" t="str">
        <x:v>未実施</x:v>
      </x:c>
      <x:c r="E28" s="84"/>
      <x:c r="F28" s="82"/>
      <x:c r="G28" s="82"/>
      <x:c r="H28" s="82"/>
      <x:c r="I28" s="82" t="str"/>
      <x:c r="J28" s="79" t="str">
        <x:v>処理対象取得</x:v>
      </x:c>
    </x:row>
    <x:row r="29" ht="50" customHeight="1">
      <x:c r="A29" s="79" t="str">
        <x:v>UT-026</x:v>
      </x:c>
      <x:c r="B29" s="79" t="str">
        <x:v>処理対象1001件</x:v>
      </x:c>
      <x:c r="C29" s="79" t="str">
        <x:v>正常</x:v>
      </x:c>
      <x:c r="D29" s="82" t="str">
        <x:v>未実施</x:v>
      </x:c>
      <x:c r="E29" s="84"/>
      <x:c r="F29" s="82"/>
      <x:c r="G29" s="82"/>
      <x:c r="H29" s="82"/>
      <x:c r="I29" s="82" t="str"/>
      <x:c r="J29" s="79" t="str">
        <x:v>処理対象取得</x:v>
      </x:c>
    </x:row>
    <x:row r="30" ht="50" customHeight="1">
      <x:c r="A30" s="79" t="str">
        <x:v>UT-027</x:v>
      </x:c>
      <x:c r="B30" s="79" t="str">
        <x:v>処理対象2001件</x:v>
      </x:c>
      <x:c r="C30" s="79" t="str">
        <x:v>正常</x:v>
      </x:c>
      <x:c r="D30" s="82" t="str">
        <x:v>未実施</x:v>
      </x:c>
      <x:c r="E30" s="84"/>
      <x:c r="F30" s="82"/>
      <x:c r="G30" s="82"/>
      <x:c r="H30" s="82"/>
      <x:c r="I30" s="82" t="str"/>
      <x:c r="J30" s="79" t="str">
        <x:v>処理対象取得</x:v>
      </x:c>
    </x:row>
    <x:row r="31" ht="50" customHeight="1">
      <x:c r="A31" s="79" t="str">
        <x:v>UT-028</x:v>
      </x:c>
      <x:c r="B31" s="79" t="str">
        <x:v>有効建物の値反映</x:v>
      </x:c>
      <x:c r="C31" s="79" t="str">
        <x:v>正常</x:v>
      </x:c>
      <x:c r="D31" s="82" t="str">
        <x:v>未実施</x:v>
      </x:c>
      <x:c r="E31" s="84"/>
      <x:c r="F31" s="82"/>
      <x:c r="G31" s="82"/>
      <x:c r="H31" s="82"/>
      <x:c r="I31" s="82" t="str"/>
      <x:c r="J31" s="79" t="str">
        <x:v>連携元データ結合</x:v>
      </x:c>
    </x:row>
    <x:row r="32" ht="50" customHeight="1">
      <x:c r="A32" s="79" t="str">
        <x:v>UT-029</x:v>
      </x:c>
      <x:c r="B32" s="79" t="str">
        <x:v>法人番号の一致</x:v>
      </x:c>
      <x:c r="C32" s="79" t="str">
        <x:v>正常</x:v>
      </x:c>
      <x:c r="D32" s="82" t="str">
        <x:v>未実施</x:v>
      </x:c>
      <x:c r="E32" s="84"/>
      <x:c r="F32" s="82"/>
      <x:c r="G32" s="82"/>
      <x:c r="H32" s="82"/>
      <x:c r="I32" s="82" t="str"/>
      <x:c r="J32" s="79" t="str">
        <x:v>連携元データ結合</x:v>
      </x:c>
    </x:row>
    <x:row r="33" ht="50" customHeight="1">
      <x:c r="A33" s="79" t="str">
        <x:v>UT-030</x:v>
      </x:c>
      <x:c r="B33" s="79" t="str">
        <x:v>法人番号不一致</x:v>
      </x:c>
      <x:c r="C33" s="79" t="str">
        <x:v>正常</x:v>
      </x:c>
      <x:c r="D33" s="82" t="str">
        <x:v>未実施</x:v>
      </x:c>
      <x:c r="E33" s="84"/>
      <x:c r="F33" s="82"/>
      <x:c r="G33" s="82"/>
      <x:c r="H33" s="82"/>
      <x:c r="I33" s="82" t="str">
        <x:v>要確認：企業基本情報マスタのJOIN種別</x:v>
      </x:c>
      <x:c r="J33" s="79" t="str">
        <x:v>連携元データ結合</x:v>
      </x:c>
    </x:row>
    <x:row r="34" ht="50" customHeight="1">
      <x:c r="A34" s="79" t="str">
        <x:v>UT-031</x:v>
      </x:c>
      <x:c r="B34" s="79" t="str">
        <x:v>企業名変更</x:v>
      </x:c>
      <x:c r="C34" s="79" t="str">
        <x:v>正常</x:v>
      </x:c>
      <x:c r="D34" s="82" t="str">
        <x:v>未実施</x:v>
      </x:c>
      <x:c r="E34" s="84"/>
      <x:c r="F34" s="82"/>
      <x:c r="G34" s="82"/>
      <x:c r="H34" s="82"/>
      <x:c r="I34" s="82" t="str"/>
      <x:c r="J34" s="79" t="str">
        <x:v>連携元データ結合</x:v>
      </x:c>
    </x:row>
    <x:row r="35" ht="50" customHeight="1">
      <x:c r="A35" s="79" t="str">
        <x:v>UT-032</x:v>
      </x:c>
      <x:c r="B35" s="79" t="str">
        <x:v>供給地点特定番号一致</x:v>
      </x:c>
      <x:c r="C35" s="79" t="str">
        <x:v>正常</x:v>
      </x:c>
      <x:c r="D35" s="82" t="str">
        <x:v>未実施</x:v>
      </x:c>
      <x:c r="E35" s="84"/>
      <x:c r="F35" s="82"/>
      <x:c r="G35" s="82"/>
      <x:c r="H35" s="82"/>
      <x:c r="I35" s="82" t="str"/>
      <x:c r="J35" s="79" t="str">
        <x:v>連携元データ結合</x:v>
      </x:c>
    </x:row>
    <x:row r="36" ht="50" customHeight="1">
      <x:c r="A36" s="79" t="str">
        <x:v>UT-033</x:v>
      </x:c>
      <x:c r="B36" s="79" t="str">
        <x:v>供給地点特定番号不一致</x:v>
      </x:c>
      <x:c r="C36" s="79" t="str">
        <x:v>正常</x:v>
      </x:c>
      <x:c r="D36" s="82" t="str">
        <x:v>未実施</x:v>
      </x:c>
      <x:c r="E36" s="84"/>
      <x:c r="F36" s="82"/>
      <x:c r="G36" s="82"/>
      <x:c r="H36" s="82"/>
      <x:c r="I36" s="82" t="str"/>
      <x:c r="J36" s="79" t="str">
        <x:v>連携元データ結合</x:v>
      </x:c>
    </x:row>
    <x:row r="37" ht="50" customHeight="1">
      <x:c r="A37" s="79" t="str">
        <x:v>UT-034</x:v>
      </x:c>
      <x:c r="B37" s="79" t="str">
        <x:v>取得年月日＝月初</x:v>
      </x:c>
      <x:c r="C37" s="79" t="str">
        <x:v>正常</x:v>
      </x:c>
      <x:c r="D37" s="82" t="str">
        <x:v>未実施</x:v>
      </x:c>
      <x:c r="E37" s="84"/>
      <x:c r="F37" s="82"/>
      <x:c r="G37" s="82"/>
      <x:c r="H37" s="82"/>
      <x:c r="I37" s="82" t="str"/>
      <x:c r="J37" s="79" t="str">
        <x:v>連携元データ結合</x:v>
      </x:c>
    </x:row>
    <x:row r="38" ht="50" customHeight="1">
      <x:c r="A38" s="79" t="str">
        <x:v>UT-035</x:v>
      </x:c>
      <x:c r="B38" s="79" t="str">
        <x:v>取得年月日＝月末</x:v>
      </x:c>
      <x:c r="C38" s="79" t="str">
        <x:v>正常</x:v>
      </x:c>
      <x:c r="D38" s="82" t="str">
        <x:v>未実施</x:v>
      </x:c>
      <x:c r="E38" s="84"/>
      <x:c r="F38" s="82"/>
      <x:c r="G38" s="82"/>
      <x:c r="H38" s="82"/>
      <x:c r="I38" s="82" t="str"/>
      <x:c r="J38" s="79" t="str">
        <x:v>連携元データ結合</x:v>
      </x:c>
    </x:row>
    <x:row r="39" ht="50" customHeight="1">
      <x:c r="A39" s="79" t="str">
        <x:v>UT-036</x:v>
      </x:c>
      <x:c r="B39" s="79" t="str">
        <x:v>取得年月日＝前月末</x:v>
      </x:c>
      <x:c r="C39" s="79" t="str">
        <x:v>正常</x:v>
      </x:c>
      <x:c r="D39" s="82" t="str">
        <x:v>未実施</x:v>
      </x:c>
      <x:c r="E39" s="84"/>
      <x:c r="F39" s="82"/>
      <x:c r="G39" s="82"/>
      <x:c r="H39" s="82"/>
      <x:c r="I39" s="82" t="str"/>
      <x:c r="J39" s="79" t="str">
        <x:v>連携元データ結合</x:v>
      </x:c>
    </x:row>
    <x:row r="40" ht="50" customHeight="1">
      <x:c r="A40" s="79" t="str">
        <x:v>UT-037</x:v>
      </x:c>
      <x:c r="B40" s="79" t="str">
        <x:v>取得年月日＝翌月初</x:v>
      </x:c>
      <x:c r="C40" s="79" t="str">
        <x:v>正常</x:v>
      </x:c>
      <x:c r="D40" s="82" t="str">
        <x:v>未実施</x:v>
      </x:c>
      <x:c r="E40" s="84"/>
      <x:c r="F40" s="82"/>
      <x:c r="G40" s="82"/>
      <x:c r="H40" s="82"/>
      <x:c r="I40" s="82" t="str"/>
      <x:c r="J40" s="79" t="str">
        <x:v>連携元データ結合</x:v>
      </x:c>
    </x:row>
    <x:row r="41" ht="50" customHeight="1">
      <x:c r="A41" s="79" t="str">
        <x:v>UT-038</x:v>
      </x:c>
      <x:c r="B41" s="79" t="str">
        <x:v>対象年月の複数日</x:v>
      </x:c>
      <x:c r="C41" s="79" t="str">
        <x:v>正常</x:v>
      </x:c>
      <x:c r="D41" s="82" t="str">
        <x:v>未実施</x:v>
      </x:c>
      <x:c r="E41" s="84"/>
      <x:c r="F41" s="82"/>
      <x:c r="G41" s="82"/>
      <x:c r="H41" s="82"/>
      <x:c r="I41" s="82" t="str">
        <x:v>要確認：UPSERT競合キー</x:v>
      </x:c>
      <x:c r="J41" s="79" t="str">
        <x:v>連携元データ結合</x:v>
      </x:c>
    </x:row>
    <x:row r="42" ht="50" customHeight="1">
      <x:c r="A42" s="79" t="str">
        <x:v>UT-039</x:v>
      </x:c>
      <x:c r="B42" s="79" t="str">
        <x:v>該当するEPデータなし</x:v>
      </x:c>
      <x:c r="C42" s="79" t="str">
        <x:v>正常</x:v>
      </x:c>
      <x:c r="D42" s="82" t="str">
        <x:v>未実施</x:v>
      </x:c>
      <x:c r="E42" s="84"/>
      <x:c r="F42" s="82"/>
      <x:c r="G42" s="82"/>
      <x:c r="H42" s="82"/>
      <x:c r="I42" s="82" t="str">
        <x:v>要確認：元データなし時の完了・エラー扱い</x:v>
      </x:c>
      <x:c r="J42" s="79" t="str">
        <x:v>連携元データ結合</x:v>
      </x:c>
    </x:row>
    <x:row r="43" ht="50" customHeight="1">
      <x:c r="A43" s="79" t="str">
        <x:v>UT-040</x:v>
      </x:c>
      <x:c r="B43" s="79" t="str">
        <x:v>供給地点特定番号一致</x:v>
      </x:c>
      <x:c r="C43" s="79" t="str">
        <x:v>正常</x:v>
      </x:c>
      <x:c r="D43" s="82" t="str">
        <x:v>未実施</x:v>
      </x:c>
      <x:c r="E43" s="84"/>
      <x:c r="F43" s="82"/>
      <x:c r="G43" s="82"/>
      <x:c r="H43" s="82"/>
      <x:c r="I43" s="82" t="str"/>
      <x:c r="J43" s="79" t="str">
        <x:v>連携元データ結合</x:v>
      </x:c>
    </x:row>
    <x:row r="44" ht="50" customHeight="1">
      <x:c r="A44" s="79" t="str">
        <x:v>UT-041</x:v>
      </x:c>
      <x:c r="B44" s="79" t="str">
        <x:v>ARVE顧客データなし</x:v>
      </x:c>
      <x:c r="C44" s="79" t="str">
        <x:v>正常</x:v>
      </x:c>
      <x:c r="D44" s="82" t="str">
        <x:v>未実施</x:v>
      </x:c>
      <x:c r="E44" s="84"/>
      <x:c r="F44" s="82"/>
      <x:c r="G44" s="82"/>
      <x:c r="H44" s="82"/>
      <x:c r="I44" s="82" t="str">
        <x:v>要確認：ARVE情報のJOIN種別</x:v>
      </x:c>
      <x:c r="J44" s="79" t="str">
        <x:v>連携元データ結合</x:v>
      </x:c>
    </x:row>
    <x:row r="45" ht="50" customHeight="1">
      <x:c r="A45" s="79" t="str">
        <x:v>UT-042</x:v>
      </x:c>
      <x:c r="B45" s="79" t="str">
        <x:v>法人番号・同意書区分</x:v>
      </x:c>
      <x:c r="C45" s="79" t="str">
        <x:v>正常</x:v>
      </x:c>
      <x:c r="D45" s="82" t="str">
        <x:v>未実施</x:v>
      </x:c>
      <x:c r="E45" s="84"/>
      <x:c r="F45" s="82"/>
      <x:c r="G45" s="82"/>
      <x:c r="H45" s="82"/>
      <x:c r="I45" s="82" t="str"/>
      <x:c r="J45" s="79" t="str">
        <x:v>項目設定・データ変換</x:v>
      </x:c>
    </x:row>
    <x:row r="46" ht="50" customHeight="1">
      <x:c r="A46" s="79" t="str">
        <x:v>UT-043</x:v>
      </x:c>
      <x:c r="B46" s="79" t="str">
        <x:v>組織ID・拠点ID</x:v>
      </x:c>
      <x:c r="C46" s="79" t="str">
        <x:v>正常</x:v>
      </x:c>
      <x:c r="D46" s="82" t="str">
        <x:v>未実施</x:v>
      </x:c>
      <x:c r="E46" s="84"/>
      <x:c r="F46" s="82"/>
      <x:c r="G46" s="82"/>
      <x:c r="H46" s="82"/>
      <x:c r="I46" s="82" t="str"/>
      <x:c r="J46" s="79" t="str">
        <x:v>項目設定・データ変換</x:v>
      </x:c>
    </x:row>
    <x:row r="47" ht="50" customHeight="1">
      <x:c r="A47" s="79" t="str">
        <x:v>UT-044</x:v>
      </x:c>
      <x:c r="B47" s="79" t="str">
        <x:v>お客さま名・建物名</x:v>
      </x:c>
      <x:c r="C47" s="79" t="str">
        <x:v>正常</x:v>
      </x:c>
      <x:c r="D47" s="82" t="str">
        <x:v>未実施</x:v>
      </x:c>
      <x:c r="E47" s="84"/>
      <x:c r="F47" s="82"/>
      <x:c r="G47" s="82"/>
      <x:c r="H47" s="82"/>
      <x:c r="I47" s="82" t="str"/>
      <x:c r="J47" s="79" t="str">
        <x:v>項目設定・データ変換</x:v>
      </x:c>
    </x:row>
    <x:row r="48" ht="50" customHeight="1">
      <x:c r="A48" s="79" t="str">
        <x:v>UT-045</x:v>
      </x:c>
      <x:c r="B48" s="79" t="str">
        <x:v>EPお客さま番号</x:v>
      </x:c>
      <x:c r="C48" s="79" t="str">
        <x:v>正常</x:v>
      </x:c>
      <x:c r="D48" s="82" t="str">
        <x:v>未実施</x:v>
      </x:c>
      <x:c r="E48" s="84"/>
      <x:c r="F48" s="82"/>
      <x:c r="G48" s="82"/>
      <x:c r="H48" s="82"/>
      <x:c r="I48" s="82" t="str"/>
      <x:c r="J48" s="79" t="str">
        <x:v>項目設定・データ変換</x:v>
      </x:c>
    </x:row>
    <x:row r="49" ht="50" customHeight="1">
      <x:c r="A49" s="79" t="str">
        <x:v>UT-046</x:v>
      </x:c>
      <x:c r="B49" s="79" t="str">
        <x:v>供給地点特定番号</x:v>
      </x:c>
      <x:c r="C49" s="79" t="str">
        <x:v>正常</x:v>
      </x:c>
      <x:c r="D49" s="82" t="str">
        <x:v>未実施</x:v>
      </x:c>
      <x:c r="E49" s="84"/>
      <x:c r="F49" s="82"/>
      <x:c r="G49" s="82"/>
      <x:c r="H49" s="82"/>
      <x:c r="I49" s="82" t="str"/>
      <x:c r="J49" s="79" t="str">
        <x:v>項目設定・データ変換</x:v>
      </x:c>
    </x:row>
    <x:row r="50" ht="50" customHeight="1">
      <x:c r="A50" s="79" t="str">
        <x:v>UT-047</x:v>
      </x:c>
      <x:c r="B50" s="79" t="str">
        <x:v>企業ID</x:v>
      </x:c>
      <x:c r="C50" s="79" t="str">
        <x:v>正常</x:v>
      </x:c>
      <x:c r="D50" s="82" t="str">
        <x:v>未実施</x:v>
      </x:c>
      <x:c r="E50" s="84"/>
      <x:c r="F50" s="82"/>
      <x:c r="G50" s="82"/>
      <x:c r="H50" s="82"/>
      <x:c r="I50" s="82" t="str"/>
      <x:c r="J50" s="79" t="str">
        <x:v>項目設定・データ変換</x:v>
      </x:c>
    </x:row>
    <x:row r="51" ht="50" customHeight="1">
      <x:c r="A51" s="79" t="str">
        <x:v>UT-048</x:v>
      </x:c>
      <x:c r="B51" s="79" t="str">
        <x:v>ARVE連携お客さま名</x:v>
      </x:c>
      <x:c r="C51" s="79" t="str">
        <x:v>正常</x:v>
      </x:c>
      <x:c r="D51" s="82" t="str">
        <x:v>未実施</x:v>
      </x:c>
      <x:c r="E51" s="84"/>
      <x:c r="F51" s="82"/>
      <x:c r="G51" s="82"/>
      <x:c r="H51" s="82"/>
      <x:c r="I51" s="82" t="str"/>
      <x:c r="J51" s="79" t="str">
        <x:v>項目設定・データ変換</x:v>
      </x:c>
    </x:row>
    <x:row r="52" ht="50" customHeight="1">
      <x:c r="A52" s="79" t="str">
        <x:v>UT-049</x:v>
      </x:c>
      <x:c r="B52" s="79" t="str">
        <x:v>名称の片方が空</x:v>
      </x:c>
      <x:c r="C52" s="79" t="str">
        <x:v>正常</x:v>
      </x:c>
      <x:c r="D52" s="82" t="str">
        <x:v>未実施</x:v>
      </x:c>
      <x:c r="E52" s="84"/>
      <x:c r="F52" s="82"/>
      <x:c r="G52" s="82"/>
      <x:c r="H52" s="82"/>
      <x:c r="I52" s="82" t="str">
        <x:v>要確認：名称NULL・空文字の許容仕様</x:v>
      </x:c>
      <x:c r="J52" s="79" t="str">
        <x:v>項目設定・データ変換</x:v>
      </x:c>
    </x:row>
    <x:row r="53" ht="50" customHeight="1">
      <x:c r="A53" s="79" t="str">
        <x:v>UT-050</x:v>
      </x:c>
      <x:c r="B53" s="79" t="str">
        <x:v>お客さま番号の分割（通常）</x:v>
      </x:c>
      <x:c r="C53" s="79" t="str">
        <x:v>正常</x:v>
      </x:c>
      <x:c r="D53" s="82" t="str">
        <x:v>未実施</x:v>
      </x:c>
      <x:c r="E53" s="84"/>
      <x:c r="F53" s="82"/>
      <x:c r="G53" s="82"/>
      <x:c r="H53" s="82"/>
      <x:c r="I53" s="82" t="str"/>
      <x:c r="J53" s="79" t="str">
        <x:v>項目設定・データ変換</x:v>
      </x:c>
    </x:row>
    <x:row r="54" ht="50" customHeight="1">
      <x:c r="A54" s="79" t="str">
        <x:v>UT-051</x:v>
      </x:c>
      <x:c r="B54" s="79" t="str">
        <x:v>お客さま番号長＝3</x:v>
      </x:c>
      <x:c r="C54" s="79" t="str">
        <x:v>正常</x:v>
      </x:c>
      <x:c r="D54" s="82" t="str">
        <x:v>未実施</x:v>
      </x:c>
      <x:c r="E54" s="84"/>
      <x:c r="F54" s="82"/>
      <x:c r="G54" s="82"/>
      <x:c r="H54" s="82"/>
      <x:c r="I54" s="82" t="str">
        <x:v>要確認：最短桁数の入力バリデーション</x:v>
      </x:c>
      <x:c r="J54" s="79" t="str">
        <x:v>項目設定・データ変換</x:v>
      </x:c>
    </x:row>
    <x:row r="55" ht="50" customHeight="1">
      <x:c r="A55" s="79" t="str">
        <x:v>UT-052</x:v>
      </x:c>
      <x:c r="B55" s="79" t="str">
        <x:v>お客さま番号長＜3</x:v>
      </x:c>
      <x:c r="C55" s="79" t="str">
        <x:v>異常</x:v>
      </x:c>
      <x:c r="D55" s="82" t="str">
        <x:v>未実施</x:v>
      </x:c>
      <x:c r="E55" s="84"/>
      <x:c r="F55" s="82"/>
      <x:c r="G55" s="82"/>
      <x:c r="H55" s="82"/>
      <x:c r="I55" s="82" t="str">
        <x:v>要確認：EPお客さま番号の桁数制約</x:v>
      </x:c>
      <x:c r="J55" s="79" t="str">
        <x:v>項目設定・データ変換</x:v>
      </x:c>
    </x:row>
    <x:row r="56" ht="50" customHeight="1">
      <x:c r="A56" s="79" t="str">
        <x:v>UT-053</x:v>
      </x:c>
      <x:c r="B56" s="79" t="str">
        <x:v>欠測時間帯_件数（整数）</x:v>
      </x:c>
      <x:c r="C56" s="79" t="str">
        <x:v>正常</x:v>
      </x:c>
      <x:c r="D56" s="82" t="str">
        <x:v>未実施</x:v>
      </x:c>
      <x:c r="E56" s="84"/>
      <x:c r="F56" s="82"/>
      <x:c r="G56" s="82"/>
      <x:c r="H56" s="82"/>
      <x:c r="I56" s="82" t="str"/>
      <x:c r="J56" s="79" t="str">
        <x:v>項目設定・データ変換</x:v>
      </x:c>
    </x:row>
    <x:row r="57" ht="50" customHeight="1">
      <x:c r="A57" s="79" t="str">
        <x:v>UT-054</x:v>
      </x:c>
      <x:c r="B57" s="79" t="str">
        <x:v>不正値時間帯_件数（0）</x:v>
      </x:c>
      <x:c r="C57" s="79" t="str">
        <x:v>正常</x:v>
      </x:c>
      <x:c r="D57" s="82" t="str">
        <x:v>未実施</x:v>
      </x:c>
      <x:c r="E57" s="84"/>
      <x:c r="F57" s="82"/>
      <x:c r="G57" s="82"/>
      <x:c r="H57" s="82"/>
      <x:c r="I57" s="82" t="str"/>
      <x:c r="J57" s="79" t="str">
        <x:v>項目設定・データ変換</x:v>
      </x:c>
    </x:row>
    <x:row r="58" ht="50" customHeight="1">
      <x:c r="A58" s="79" t="str">
        <x:v>UT-055</x:v>
      </x:c>
      <x:c r="B58" s="79" t="str">
        <x:v>件数がNULL</x:v>
      </x:c>
      <x:c r="C58" s="79" t="str">
        <x:v>正常</x:v>
      </x:c>
      <x:c r="D58" s="82" t="str">
        <x:v>未実施</x:v>
      </x:c>
      <x:c r="E58" s="84"/>
      <x:c r="F58" s="82"/>
      <x:c r="G58" s="82"/>
      <x:c r="H58" s="82"/>
      <x:c r="I58" s="82" t="str">
        <x:v>要確認：NULL許容制約</x:v>
      </x:c>
      <x:c r="J58" s="79" t="str">
        <x:v>項目設定・データ変換</x:v>
      </x:c>
    </x:row>
    <x:row r="59" ht="50" customHeight="1">
      <x:c r="A59" s="79" t="str">
        <x:v>UT-056</x:v>
      </x:c>
      <x:c r="B59" s="79" t="str">
        <x:v>件数が数値以外</x:v>
      </x:c>
      <x:c r="C59" s="79" t="str">
        <x:v>異常</x:v>
      </x:c>
      <x:c r="D59" s="82" t="str">
        <x:v>未実施</x:v>
      </x:c>
      <x:c r="E59" s="84"/>
      <x:c r="F59" s="82"/>
      <x:c r="G59" s="82"/>
      <x:c r="H59" s="82"/>
      <x:c r="I59" s="82" t="str"/>
      <x:c r="J59" s="79" t="str">
        <x:v>項目設定・データ変換</x:v>
      </x:c>
    </x:row>
    <x:row r="60" ht="50" customHeight="1">
      <x:c r="A60" s="79" t="str">
        <x:v>UT-057</x:v>
      </x:c>
      <x:c r="B60" s="79" t="str">
        <x:v>件数が負数</x:v>
      </x:c>
      <x:c r="C60" s="79" t="str">
        <x:v>正常</x:v>
      </x:c>
      <x:c r="D60" s="82" t="str">
        <x:v>未実施</x:v>
      </x:c>
      <x:c r="E60" s="84"/>
      <x:c r="F60" s="82"/>
      <x:c r="G60" s="82"/>
      <x:c r="H60" s="82"/>
      <x:c r="I60" s="82" t="str">
        <x:v>要確認：欠測／不正値件数の負数許容</x:v>
      </x:c>
      <x:c r="J60" s="79" t="str">
        <x:v>項目設定・データ変換</x:v>
      </x:c>
    </x:row>
    <x:row r="61" ht="50" customHeight="1">
      <x:c r="A61" s="79" t="str">
        <x:v>UT-058</x:v>
      </x:c>
      <x:c r="B61" s="79" t="str">
        <x:v>取得_年月日</x:v>
      </x:c>
      <x:c r="C61" s="79" t="str">
        <x:v>正常</x:v>
      </x:c>
      <x:c r="D61" s="82" t="str">
        <x:v>未実施</x:v>
      </x:c>
      <x:c r="E61" s="84"/>
      <x:c r="F61" s="82"/>
      <x:c r="G61" s="82"/>
      <x:c r="H61" s="82"/>
      <x:c r="I61" s="82" t="str"/>
      <x:c r="J61" s="79" t="str">
        <x:v>項目設定・データ変換</x:v>
      </x:c>
    </x:row>
    <x:row r="62" ht="50" customHeight="1">
      <x:c r="A62" s="79" t="str">
        <x:v>UT-059</x:v>
      </x:c>
      <x:c r="B62" s="79" t="str">
        <x:v>48項目の一対一対応</x:v>
      </x:c>
      <x:c r="C62" s="79" t="str">
        <x:v>正常</x:v>
      </x:c>
      <x:c r="D62" s="82" t="str">
        <x:v>未実施</x:v>
      </x:c>
      <x:c r="E62" s="84"/>
      <x:c r="F62" s="82"/>
      <x:c r="G62" s="82"/>
      <x:c r="H62" s="82"/>
      <x:c r="I62" s="82" t="str"/>
      <x:c r="J62" s="79" t="str">
        <x:v>項目設定・データ変換</x:v>
      </x:c>
    </x:row>
    <x:row r="63" ht="50" customHeight="1">
      <x:c r="A63" s="79" t="str">
        <x:v>UT-060</x:v>
      </x:c>
      <x:c r="B63" s="79" t="str">
        <x:v>先頭・中央・末尾</x:v>
      </x:c>
      <x:c r="C63" s="79" t="str">
        <x:v>正常</x:v>
      </x:c>
      <x:c r="D63" s="82" t="str">
        <x:v>未実施</x:v>
      </x:c>
      <x:c r="E63" s="84"/>
      <x:c r="F63" s="82"/>
      <x:c r="G63" s="82"/>
      <x:c r="H63" s="82"/>
      <x:c r="I63" s="82" t="str"/>
      <x:c r="J63" s="79" t="str">
        <x:v>項目設定・データ変換</x:v>
      </x:c>
    </x:row>
    <x:row r="64" ht="50" customHeight="1">
      <x:c r="A64" s="79" t="str">
        <x:v>UT-061</x:v>
      </x:c>
      <x:c r="B64" s="79" t="str">
        <x:v>小数値</x:v>
      </x:c>
      <x:c r="C64" s="79" t="str">
        <x:v>正常</x:v>
      </x:c>
      <x:c r="D64" s="82" t="str">
        <x:v>未実施</x:v>
      </x:c>
      <x:c r="E64" s="84"/>
      <x:c r="F64" s="82"/>
      <x:c r="G64" s="82"/>
      <x:c r="H64" s="82"/>
      <x:c r="I64" s="82" t="str"/>
      <x:c r="J64" s="79" t="str">
        <x:v>項目設定・データ変換</x:v>
      </x:c>
    </x:row>
    <x:row r="65" ht="50" customHeight="1">
      <x:c r="A65" s="79" t="str">
        <x:v>UT-062</x:v>
      </x:c>
      <x:c r="B65" s="79" t="str">
        <x:v>ゼロ</x:v>
      </x:c>
      <x:c r="C65" s="79" t="str">
        <x:v>正常</x:v>
      </x:c>
      <x:c r="D65" s="82" t="str">
        <x:v>未実施</x:v>
      </x:c>
      <x:c r="E65" s="84"/>
      <x:c r="F65" s="82"/>
      <x:c r="G65" s="82"/>
      <x:c r="H65" s="82"/>
      <x:c r="I65" s="82" t="str"/>
      <x:c r="J65" s="79" t="str">
        <x:v>項目設定・データ変換</x:v>
      </x:c>
    </x:row>
    <x:row r="66" ht="50" customHeight="1">
      <x:c r="A66" s="79" t="str">
        <x:v>UT-063</x:v>
      </x:c>
      <x:c r="B66" s="79" t="str">
        <x:v>NULLとブランク</x:v>
      </x:c>
      <x:c r="C66" s="79" t="str">
        <x:v>正常</x:v>
      </x:c>
      <x:c r="D66" s="82" t="str">
        <x:v>未実施</x:v>
      </x:c>
      <x:c r="E66" s="84"/>
      <x:c r="F66" s="82"/>
      <x:c r="G66" s="82"/>
      <x:c r="H66" s="82"/>
      <x:c r="I66" s="82" t="str">
        <x:v>要確認：空文字はNULL化する実装の有無</x:v>
      </x:c>
      <x:c r="J66" s="79" t="str">
        <x:v>項目設定・データ変換</x:v>
      </x:c>
    </x:row>
    <x:row r="67" ht="50" customHeight="1">
      <x:c r="A67" s="79" t="str">
        <x:v>UT-064</x:v>
      </x:c>
      <x:c r="B67" s="79" t="str">
        <x:v>マイナス値</x:v>
      </x:c>
      <x:c r="C67" s="79" t="str">
        <x:v>正常</x:v>
      </x:c>
      <x:c r="D67" s="82" t="str">
        <x:v>未実施</x:v>
      </x:c>
      <x:c r="E67" s="84"/>
      <x:c r="F67" s="82"/>
      <x:c r="G67" s="82"/>
      <x:c r="H67" s="82"/>
      <x:c r="I67" s="82" t="str">
        <x:v>要確認：負数に対する業務チェック</x:v>
      </x:c>
      <x:c r="J67" s="79" t="str">
        <x:v>項目設定・データ変換</x:v>
      </x:c>
    </x:row>
    <x:row r="68" ht="50" customHeight="1">
      <x:c r="A68" s="79" t="str">
        <x:v>UT-065</x:v>
      </x:c>
      <x:c r="B68" s="79" t="str">
        <x:v>非数値</x:v>
      </x:c>
      <x:c r="C68" s="79" t="str">
        <x:v>異常</x:v>
      </x:c>
      <x:c r="D68" s="82" t="str">
        <x:v>未実施</x:v>
      </x:c>
      <x:c r="E68" s="84"/>
      <x:c r="F68" s="82"/>
      <x:c r="G68" s="82"/>
      <x:c r="H68" s="82"/>
      <x:c r="I68" s="82" t="str"/>
      <x:c r="J68" s="79" t="str">
        <x:v>項目設定・データ変換</x:v>
      </x:c>
    </x:row>
    <x:row r="69" ht="50" customHeight="1">
      <x:c r="A69" s="79" t="str">
        <x:v>UT-066</x:v>
      </x:c>
      <x:c r="B69" s="79" t="str">
        <x:v>削除フラグ初期値</x:v>
      </x:c>
      <x:c r="C69" s="79" t="str">
        <x:v>正常</x:v>
      </x:c>
      <x:c r="D69" s="82" t="str">
        <x:v>未実施</x:v>
      </x:c>
      <x:c r="E69" s="84"/>
      <x:c r="F69" s="82"/>
      <x:c r="G69" s="82"/>
      <x:c r="H69" s="82"/>
      <x:c r="I69" s="82" t="str"/>
      <x:c r="J69" s="79" t="str">
        <x:v>項目設定・データ変換</x:v>
      </x:c>
    </x:row>
    <x:row r="70" ht="50" customHeight="1">
      <x:c r="A70" s="79" t="str">
        <x:v>UT-067</x:v>
      </x:c>
      <x:c r="B70" s="79" t="str">
        <x:v>新規登録時の作成者・日時</x:v>
      </x:c>
      <x:c r="C70" s="79" t="str">
        <x:v>正常</x:v>
      </x:c>
      <x:c r="D70" s="82" t="str">
        <x:v>未実施</x:v>
      </x:c>
      <x:c r="E70" s="84"/>
      <x:c r="F70" s="82"/>
      <x:c r="G70" s="82"/>
      <x:c r="H70" s="82"/>
      <x:c r="I70" s="82" t="str"/>
      <x:c r="J70" s="79" t="str">
        <x:v>項目設定・データ変換</x:v>
      </x:c>
    </x:row>
    <x:row r="71" ht="50" customHeight="1">
      <x:c r="A71" s="79" t="str">
        <x:v>UT-068</x:v>
      </x:c>
      <x:c r="B71" s="79" t="str">
        <x:v>新規登録時の更新者・日時</x:v>
      </x:c>
      <x:c r="C71" s="79" t="str">
        <x:v>正常</x:v>
      </x:c>
      <x:c r="D71" s="82" t="str">
        <x:v>未実施</x:v>
      </x:c>
      <x:c r="E71" s="84"/>
      <x:c r="F71" s="82"/>
      <x:c r="G71" s="82"/>
      <x:c r="H71" s="82"/>
      <x:c r="I71" s="82" t="str"/>
      <x:c r="J71" s="79" t="str">
        <x:v>項目設定・データ変換</x:v>
      </x:c>
    </x:row>
    <x:row r="72" ht="50" customHeight="1">
      <x:c r="A72" s="79" t="str">
        <x:v>UT-069</x:v>
      </x:c>
      <x:c r="B72" s="79" t="str">
        <x:v>ファイル更新日時初期値</x:v>
      </x:c>
      <x:c r="C72" s="79" t="str">
        <x:v>正常</x:v>
      </x:c>
      <x:c r="D72" s="82" t="str">
        <x:v>未実施</x:v>
      </x:c>
      <x:c r="E72" s="84"/>
      <x:c r="F72" s="82"/>
      <x:c r="G72" s="82"/>
      <x:c r="H72" s="82"/>
      <x:c r="I72" s="82" t="str">
        <x:v>要確認：日時型の場合の空文字の保存形式</x:v>
      </x:c>
      <x:c r="J72" s="79" t="str">
        <x:v>項目設定・データ変換</x:v>
      </x:c>
    </x:row>
    <x:row r="73" ht="50" customHeight="1">
      <x:c r="A73" s="79" t="str">
        <x:v>UT-070</x:v>
      </x:c>
      <x:c r="B73" s="79" t="str">
        <x:v>未登録データをINSERT</x:v>
      </x:c>
      <x:c r="C73" s="79" t="str">
        <x:v>正常</x:v>
      </x:c>
      <x:c r="D73" s="82" t="str">
        <x:v>未実施</x:v>
      </x:c>
      <x:c r="E73" s="84"/>
      <x:c r="F73" s="82"/>
      <x:c r="G73" s="82"/>
      <x:c r="H73" s="82"/>
      <x:c r="I73" s="82" t="str"/>
      <x:c r="J73" s="79" t="str">
        <x:v>UPSERT登録・更新</x:v>
      </x:c>
    </x:row>
    <x:row r="74" ht="50" customHeight="1">
      <x:c r="A74" s="79" t="str">
        <x:v>UT-071</x:v>
      </x:c>
      <x:c r="B74" s="79" t="str">
        <x:v>既存データをUPDATE</x:v>
      </x:c>
      <x:c r="C74" s="79" t="str">
        <x:v>正常</x:v>
      </x:c>
      <x:c r="D74" s="82" t="str">
        <x:v>未実施</x:v>
      </x:c>
      <x:c r="E74" s="84"/>
      <x:c r="F74" s="82"/>
      <x:c r="G74" s="82"/>
      <x:c r="H74" s="82"/>
      <x:c r="I74" s="82" t="str">
        <x:v>要確認：UPSERT競合キー</x:v>
      </x:c>
      <x:c r="J74" s="79" t="str">
        <x:v>UPSERT登録・更新</x:v>
      </x:c>
    </x:row>
    <x:row r="75" ht="50" customHeight="1">
      <x:c r="A75" s="79" t="str">
        <x:v>UT-072</x:v>
      </x:c>
      <x:c r="B75" s="79" t="str">
        <x:v>更新時の作成者・作成日時保持</x:v>
      </x:c>
      <x:c r="C75" s="79" t="str">
        <x:v>正常</x:v>
      </x:c>
      <x:c r="D75" s="82" t="str">
        <x:v>未実施</x:v>
      </x:c>
      <x:c r="E75" s="84"/>
      <x:c r="F75" s="82"/>
      <x:c r="G75" s="82"/>
      <x:c r="H75" s="82"/>
      <x:c r="I75" s="82" t="str"/>
      <x:c r="J75" s="79" t="str">
        <x:v>UPSERT登録・更新</x:v>
      </x:c>
    </x:row>
    <x:row r="76" ht="50" customHeight="1">
      <x:c r="A76" s="79" t="str">
        <x:v>UT-073</x:v>
      </x:c>
      <x:c r="B76" s="79" t="str">
        <x:v>更新者・更新日時を更新</x:v>
      </x:c>
      <x:c r="C76" s="79" t="str">
        <x:v>正常</x:v>
      </x:c>
      <x:c r="D76" s="82" t="str">
        <x:v>未実施</x:v>
      </x:c>
      <x:c r="E76" s="84"/>
      <x:c r="F76" s="82"/>
      <x:c r="G76" s="82"/>
      <x:c r="H76" s="82"/>
      <x:c r="I76" s="82" t="str"/>
      <x:c r="J76" s="79" t="str">
        <x:v>UPSERT登録・更新</x:v>
      </x:c>
    </x:row>
    <x:row r="77" ht="50" customHeight="1">
      <x:c r="A77" s="79" t="str">
        <x:v>UT-074</x:v>
      </x:c>
      <x:c r="B77" s="79" t="str">
        <x:v>既存項目の上書き対象</x:v>
      </x:c>
      <x:c r="C77" s="79" t="str">
        <x:v>正常</x:v>
      </x:c>
      <x:c r="D77" s="82" t="str">
        <x:v>未実施</x:v>
      </x:c>
      <x:c r="E77" s="84"/>
      <x:c r="F77" s="82"/>
      <x:c r="G77" s="82"/>
      <x:c r="H77" s="82"/>
      <x:c r="I77" s="82" t="str">
        <x:v>要確認：更新対象項目の全列一覧</x:v>
      </x:c>
      <x:c r="J77" s="79" t="str">
        <x:v>UPSERT登録・更新</x:v>
      </x:c>
    </x:row>
    <x:row r="78" ht="50" customHeight="1">
      <x:c r="A78" s="79" t="str">
        <x:v>UT-075</x:v>
      </x:c>
      <x:c r="B78" s="79" t="str">
        <x:v>ファイル更新日時の扱い</x:v>
      </x:c>
      <x:c r="C78" s="79" t="str">
        <x:v>正常</x:v>
      </x:c>
      <x:c r="D78" s="82" t="str">
        <x:v>未実施</x:v>
      </x:c>
      <x:c r="E78" s="84"/>
      <x:c r="F78" s="82"/>
      <x:c r="G78" s="82"/>
      <x:c r="H78" s="82"/>
      <x:c r="I78" s="82" t="str">
        <x:v>要確認：UPSERT UPDATE句への記載有無</x:v>
      </x:c>
      <x:c r="J78" s="79" t="str">
        <x:v>UPSERT登録・更新</x:v>
      </x:c>
    </x:row>
    <x:row r="79" ht="50" customHeight="1">
      <x:c r="A79" s="79" t="str">
        <x:v>UT-076</x:v>
      </x:c>
      <x:c r="B79" s="79" t="str">
        <x:v>INSERTとUPDATEが混在</x:v>
      </x:c>
      <x:c r="C79" s="79" t="str">
        <x:v>正常</x:v>
      </x:c>
      <x:c r="D79" s="82" t="str">
        <x:v>未実施</x:v>
      </x:c>
      <x:c r="E79" s="84"/>
      <x:c r="F79" s="82"/>
      <x:c r="G79" s="82"/>
      <x:c r="H79" s="82"/>
      <x:c r="I79" s="82" t="str"/>
      <x:c r="J79" s="79" t="str">
        <x:v>UPSERT登録・更新</x:v>
      </x:c>
    </x:row>
    <x:row r="80" ht="50" customHeight="1">
      <x:c r="A80" s="79" t="str">
        <x:v>UT-077</x:v>
      </x:c>
      <x:c r="B80" s="79" t="str">
        <x:v>複数地点・複数日</x:v>
      </x:c>
      <x:c r="C80" s="79" t="str">
        <x:v>正常</x:v>
      </x:c>
      <x:c r="D80" s="82" t="str">
        <x:v>未実施</x:v>
      </x:c>
      <x:c r="E80" s="84"/>
      <x:c r="F80" s="82"/>
      <x:c r="G80" s="82"/>
      <x:c r="H80" s="82"/>
      <x:c r="I80" s="82" t="str">
        <x:v>要確認：UPSERT競合キー</x:v>
      </x:c>
      <x:c r="J80" s="79" t="str">
        <x:v>UPSERT登録・更新</x:v>
      </x:c>
    </x:row>
    <x:row r="81" ht="50" customHeight="1">
      <x:c r="A81" s="79" t="str">
        <x:v>UT-078</x:v>
      </x:c>
      <x:c r="B81" s="79" t="str">
        <x:v>対象外地点の既存データ保持</x:v>
      </x:c>
      <x:c r="C81" s="79" t="str">
        <x:v>正常</x:v>
      </x:c>
      <x:c r="D81" s="82" t="str">
        <x:v>未実施</x:v>
      </x:c>
      <x:c r="E81" s="84"/>
      <x:c r="F81" s="82"/>
      <x:c r="G81" s="82"/>
      <x:c r="H81" s="82"/>
      <x:c r="I81" s="82" t="str"/>
      <x:c r="J81" s="79" t="str">
        <x:v>UPSERT登録・更新</x:v>
      </x:c>
    </x:row>
    <x:row r="82" ht="50" customHeight="1">
      <x:c r="A82" s="79" t="str">
        <x:v>UT-079</x:v>
      </x:c>
      <x:c r="B82" s="79" t="str">
        <x:v>元EPデータ複数行の競合</x:v>
      </x:c>
      <x:c r="C82" s="79" t="str">
        <x:v>正常</x:v>
      </x:c>
      <x:c r="D82" s="82" t="str">
        <x:v>未実施</x:v>
      </x:c>
      <x:c r="E82" s="84"/>
      <x:c r="F82" s="82"/>
      <x:c r="G82" s="82"/>
      <x:c r="H82" s="82"/>
      <x:c r="I82" s="82" t="str">
        <x:v>要確認：競合キーと元重複時の仕様</x:v>
      </x:c>
      <x:c r="J82" s="79" t="str">
        <x:v>UPSERT登録・更新</x:v>
      </x:c>
    </x:row>
    <x:row r="83" ht="50" customHeight="1">
      <x:c r="A83" s="79" t="str">
        <x:v>UT-080</x:v>
      </x:c>
      <x:c r="B83" s="79" t="str">
        <x:v>紐付け日時設定</x:v>
      </x:c>
      <x:c r="C83" s="79" t="str">
        <x:v>正常</x:v>
      </x:c>
      <x:c r="D83" s="82" t="str">
        <x:v>未実施</x:v>
      </x:c>
      <x:c r="E83" s="84"/>
      <x:c r="F83" s="82"/>
      <x:c r="G83" s="82"/>
      <x:c r="H83" s="82"/>
      <x:c r="I83" s="82" t="str"/>
      <x:c r="J83" s="79" t="str">
        <x:v>処理対象の成功更新</x:v>
      </x:c>
    </x:row>
    <x:row r="84" ht="50" customHeight="1">
      <x:c r="A84" s="79" t="str">
        <x:v>UT-081</x:v>
      </x:c>
      <x:c r="B84" s="79" t="str">
        <x:v>紐付けエラーメッセージ消去</x:v>
      </x:c>
      <x:c r="C84" s="79" t="str">
        <x:v>正常</x:v>
      </x:c>
      <x:c r="D84" s="82" t="str">
        <x:v>未実施</x:v>
      </x:c>
      <x:c r="E84" s="84"/>
      <x:c r="F84" s="82"/>
      <x:c r="G84" s="82"/>
      <x:c r="H84" s="82"/>
      <x:c r="I84" s="82" t="str"/>
      <x:c r="J84" s="79" t="str">
        <x:v>処理対象の成功更新</x:v>
      </x:c>
    </x:row>
    <x:row r="85" ht="50" customHeight="1">
      <x:c r="A85" s="79" t="str">
        <x:v>UT-082</x:v>
      </x:c>
      <x:c r="B85" s="79" t="str">
        <x:v>更新者・更新日時</x:v>
      </x:c>
      <x:c r="C85" s="79" t="str">
        <x:v>正常</x:v>
      </x:c>
      <x:c r="D85" s="82" t="str">
        <x:v>未実施</x:v>
      </x:c>
      <x:c r="E85" s="84"/>
      <x:c r="F85" s="82"/>
      <x:c r="G85" s="82"/>
      <x:c r="H85" s="82"/>
      <x:c r="I85" s="82" t="str"/>
      <x:c r="J85" s="79" t="str">
        <x:v>処理対象の成功更新</x:v>
      </x:c>
    </x:row>
    <x:row r="86" ht="50" customHeight="1">
      <x:c r="A86" s="79" t="str">
        <x:v>UT-083</x:v>
      </x:c>
      <x:c r="B86" s="79" t="str">
        <x:v>対象の供給地点のみ</x:v>
      </x:c>
      <x:c r="C86" s="79" t="str">
        <x:v>正常</x:v>
      </x:c>
      <x:c r="D86" s="82" t="str">
        <x:v>未実施</x:v>
      </x:c>
      <x:c r="E86" s="84"/>
      <x:c r="F86" s="82"/>
      <x:c r="G86" s="82"/>
      <x:c r="H86" s="82"/>
      <x:c r="I86" s="82" t="str"/>
      <x:c r="J86" s="79" t="str">
        <x:v>処理対象の成功更新</x:v>
      </x:c>
    </x:row>
    <x:row r="87" ht="50" customHeight="1">
      <x:c r="A87" s="79" t="str">
        <x:v>UT-084</x:v>
      </x:c>
      <x:c r="B87" s="79" t="str">
        <x:v>成功時に次回抽出対象外</x:v>
      </x:c>
      <x:c r="C87" s="79" t="str">
        <x:v>正常</x:v>
      </x:c>
      <x:c r="D87" s="82" t="str">
        <x:v>未実施</x:v>
      </x:c>
      <x:c r="E87" s="84"/>
      <x:c r="F87" s="82"/>
      <x:c r="G87" s="82"/>
      <x:c r="H87" s="82"/>
      <x:c r="I87" s="82" t="str"/>
      <x:c r="J87" s="79" t="str">
        <x:v>処理対象の成功更新</x:v>
      </x:c>
    </x:row>
    <x:row r="88" ht="50" customHeight="1">
      <x:c r="A88" s="79" t="str">
        <x:v>UT-085</x:v>
      </x:c>
      <x:c r="B88" s="79" t="str">
        <x:v>成功時COMMIT</x:v>
      </x:c>
      <x:c r="C88" s="79" t="str">
        <x:v>正常</x:v>
      </x:c>
      <x:c r="D88" s="82" t="str">
        <x:v>未実施</x:v>
      </x:c>
      <x:c r="E88" s="84"/>
      <x:c r="F88" s="82"/>
      <x:c r="G88" s="82"/>
      <x:c r="H88" s="82"/>
      <x:c r="I88" s="82" t="str"/>
      <x:c r="J88" s="79" t="str">
        <x:v>処理対象の成功更新</x:v>
      </x:c>
    </x:row>
    <x:row r="89" ht="50" customHeight="1">
      <x:c r="A89" s="79" t="str">
        <x:v>UT-086</x:v>
      </x:c>
      <x:c r="B89" s="79" t="str">
        <x:v>生データINSERTでDBエラー</x:v>
      </x:c>
      <x:c r="C89" s="79" t="str">
        <x:v>異常</x:v>
      </x:c>
      <x:c r="D89" s="82" t="str">
        <x:v>未実施</x:v>
      </x:c>
      <x:c r="E89" s="84"/>
      <x:c r="F89" s="82"/>
      <x:c r="G89" s="82"/>
      <x:c r="H89" s="82"/>
      <x:c r="I89" s="82" t="str">
        <x:v>要確認：例外検知からNo.6更新までの制御経路</x:v>
      </x:c>
      <x:c r="J89" s="79" t="str">
        <x:v>異常系・トランザクション</x:v>
      </x:c>
    </x:row>
    <x:row r="90" ht="50" customHeight="1">
      <x:c r="A90" s="79" t="str">
        <x:v>UT-087</x:v>
      </x:c>
      <x:c r="B90" s="79" t="str">
        <x:v>生データUPDATEでDBエラー</x:v>
      </x:c>
      <x:c r="C90" s="79" t="str">
        <x:v>異常</x:v>
      </x:c>
      <x:c r="D90" s="82" t="str">
        <x:v>未実施</x:v>
      </x:c>
      <x:c r="E90" s="84"/>
      <x:c r="F90" s="82"/>
      <x:c r="G90" s="82"/>
      <x:c r="H90" s="82"/>
      <x:c r="I90" s="82" t="str"/>
      <x:c r="J90" s="79" t="str">
        <x:v>異常系・トランザクション</x:v>
      </x:c>
    </x:row>
    <x:row r="91" ht="50" customHeight="1">
      <x:c r="A91" s="79" t="str">
        <x:v>UT-088</x:v>
      </x:c>
      <x:c r="B91" s="79" t="str">
        <x:v>エラー更新先の限定</x:v>
      </x:c>
      <x:c r="C91" s="79" t="str">
        <x:v>異常</x:v>
      </x:c>
      <x:c r="D91" s="82" t="str">
        <x:v>未実施</x:v>
      </x:c>
      <x:c r="E91" s="84"/>
      <x:c r="F91" s="82"/>
      <x:c r="G91" s="82"/>
      <x:c r="H91" s="82"/>
      <x:c r="I91" s="82" t="str"/>
      <x:c r="J91" s="79" t="str">
        <x:v>異常系・トランザクション</x:v>
      </x:c>
    </x:row>
    <x:row r="92" ht="50" customHeight="1">
      <x:c r="A92" s="79" t="str">
        <x:v>UT-089</x:v>
      </x:c>
      <x:c r="B92" s="79" t="str">
        <x:v>エラー時は紐付け日時を付けない</x:v>
      </x:c>
      <x:c r="C92" s="79" t="str">
        <x:v>異常</x:v>
      </x:c>
      <x:c r="D92" s="82" t="str">
        <x:v>未実施</x:v>
      </x:c>
      <x:c r="E92" s="84"/>
      <x:c r="F92" s="82"/>
      <x:c r="G92" s="82"/>
      <x:c r="H92" s="82"/>
      <x:c r="I92" s="82" t="str"/>
      <x:c r="J92" s="79" t="str">
        <x:v>異常系・トランザクション</x:v>
      </x:c>
    </x:row>
    <x:row r="93" ht="50" customHeight="1">
      <x:c r="A93" s="79" t="str">
        <x:v>UT-090</x:v>
      </x:c>
      <x:c r="B93" s="79" t="str">
        <x:v>エラー時の更新者・更新日時</x:v>
      </x:c>
      <x:c r="C93" s="79" t="str">
        <x:v>異常</x:v>
      </x:c>
      <x:c r="D93" s="82" t="str">
        <x:v>未実施</x:v>
      </x:c>
      <x:c r="E93" s="84"/>
      <x:c r="F93" s="82"/>
      <x:c r="G93" s="82"/>
      <x:c r="H93" s="82"/>
      <x:c r="I93" s="82" t="str"/>
      <x:c r="J93" s="79" t="str">
        <x:v>異常系・トランザクション</x:v>
      </x:c>
    </x:row>
    <x:row r="94" ht="50" customHeight="1">
      <x:c r="A94" s="79" t="str">
        <x:v>UT-091</x:v>
      </x:c>
      <x:c r="B94" s="79" t="str">
        <x:v>エラーメッセージ長超過</x:v>
      </x:c>
      <x:c r="C94" s="79" t="str">
        <x:v>異常</x:v>
      </x:c>
      <x:c r="D94" s="82" t="str">
        <x:v>未実施</x:v>
      </x:c>
      <x:c r="E94" s="84"/>
      <x:c r="F94" s="82"/>
      <x:c r="G94" s="82"/>
      <x:c r="H94" s="82"/>
      <x:c r="I94" s="82" t="str">
        <x:v>要確認：メッセージ最大長と切詰め規則</x:v>
      </x:c>
      <x:c r="J94" s="79" t="str">
        <x:v>異常系・トランザクション</x:v>
      </x:c>
    </x:row>
    <x:row r="95" ht="50" customHeight="1">
      <x:c r="A95" s="79" t="str">
        <x:v>UT-092</x:v>
      </x:c>
      <x:c r="B95" s="79" t="str">
        <x:v>UPSERT後に管理更新失敗</x:v>
      </x:c>
      <x:c r="C95" s="79" t="str">
        <x:v>異常</x:v>
      </x:c>
      <x:c r="D95" s="82" t="str">
        <x:v>未実施</x:v>
      </x:c>
      <x:c r="E95" s="84"/>
      <x:c r="F95" s="82"/>
      <x:c r="G95" s="82"/>
      <x:c r="H95" s="82"/>
      <x:c r="I95" s="82" t="str">
        <x:v>要確認：実際のトランザクション境界</x:v>
      </x:c>
      <x:c r="J95" s="79" t="str">
        <x:v>異常系・トランザクション</x:v>
      </x:c>
    </x:row>
    <x:row r="96" ht="50" customHeight="1">
      <x:c r="A96" s="79" t="str">
        <x:v>UT-093</x:v>
      </x:c>
      <x:c r="B96" s="79" t="str">
        <x:v>UPSERT途中で失敗</x:v>
      </x:c>
      <x:c r="C96" s="79" t="str">
        <x:v>異常</x:v>
      </x:c>
      <x:c r="D96" s="82" t="str">
        <x:v>未実施</x:v>
      </x:c>
      <x:c r="E96" s="84"/>
      <x:c r="F96" s="82"/>
      <x:c r="G96" s="82"/>
      <x:c r="H96" s="82"/>
      <x:c r="I96" s="82" t="str">
        <x:v>要確認：1地点／1日／1ループのトランザクション粒度</x:v>
      </x:c>
      <x:c r="J96" s="79" t="str">
        <x:v>異常系・トランザクション</x:v>
      </x:c>
    </x:row>
    <x:row r="97" ht="50" customHeight="1">
      <x:c r="A97" s="79" t="str">
        <x:v>UT-094</x:v>
      </x:c>
      <x:c r="B97" s="79" t="str">
        <x:v>Exception時の後続処理</x:v>
      </x:c>
      <x:c r="C97" s="79" t="str">
        <x:v>異常</x:v>
      </x:c>
      <x:c r="D97" s="82" t="str">
        <x:v>未実施</x:v>
      </x:c>
      <x:c r="E97" s="84"/>
      <x:c r="F97" s="82"/>
      <x:c r="G97" s="82"/>
      <x:c r="H97" s="82"/>
      <x:c r="I97" s="82" t="str">
        <x:v>要確認：個別エラー記録更新との優先順位</x:v>
      </x:c>
      <x:c r="J97" s="79" t="str">
        <x:v>異常系・トランザクション</x:v>
      </x:c>
    </x:row>
    <x:row r="98" ht="50" customHeight="1">
      <x:c r="A98" s="79" t="str">
        <x:v>UT-095</x:v>
      </x:c>
      <x:c r="B98" s="79" t="str">
        <x:v>エラー対象の再取得・無限ループ防止</x:v>
      </x:c>
      <x:c r="C98" s="79" t="str">
        <x:v>異常</x:v>
      </x:c>
      <x:c r="D98" s="82" t="str">
        <x:v>未実施</x:v>
      </x:c>
      <x:c r="E98" s="84"/>
      <x:c r="F98" s="82"/>
      <x:c r="G98" s="82"/>
      <x:c r="H98" s="82"/>
      <x:c r="I98" s="82" t="str">
        <x:v>要確認（優先）：SELECT条件が紐付けエラーメッセージを参照せず、エラー更新でも紐付け日時がNULLのまま</x:v>
      </x:c>
      <x:c r="J98" s="79" t="str">
        <x:v>異常系・トランザクション</x:v>
      </x:c>
    </x:row>
    <x:row r="99" ht="50" customHeight="1">
      <x:c r="A99" s="79" t="str">
        <x:v>UT-096</x:v>
      </x:c>
      <x:c r="B99" s="79" t="str">
        <x:v>例外後の次地点処理</x:v>
      </x:c>
      <x:c r="C99" s="79" t="str">
        <x:v>異常</x:v>
      </x:c>
      <x:c r="D99" s="82" t="str">
        <x:v>未実施</x:v>
      </x:c>
      <x:c r="E99" s="84"/>
      <x:c r="F99" s="82"/>
      <x:c r="G99" s="82"/>
      <x:c r="H99" s="82"/>
      <x:c r="I99" s="82" t="str">
        <x:v>要確認：エラー時に次データへ進むか終了するか</x:v>
      </x:c>
      <x:c r="J99" s="79" t="str">
        <x:v>異常系・トランザクション</x:v>
      </x:c>
    </x:row>
    <x:row r="100" ht="50" customHeight="1">
      <x:c r="A100" s="79" t="str">
        <x:v>UT-097</x:v>
      </x:c>
      <x:c r="B100" s="79" t="str">
        <x:v>1回処理後に対象0件</x:v>
      </x:c>
      <x:c r="C100" s="79" t="str">
        <x:v>正常</x:v>
      </x:c>
      <x:c r="D100" s="82" t="str">
        <x:v>未実施</x:v>
      </x:c>
      <x:c r="E100" s="84"/>
      <x:c r="F100" s="82"/>
      <x:c r="G100" s="82"/>
      <x:c r="H100" s="82"/>
      <x:c r="I100" s="82" t="str"/>
      <x:c r="J100" s="79" t="str">
        <x:v>ループ・件数</x:v>
      </x:c>
    </x:row>
    <x:row r="101" ht="50" customHeight="1">
      <x:c r="A101" s="79" t="str">
        <x:v>UT-098</x:v>
      </x:c>
      <x:c r="B101" s="79" t="str">
        <x:v>1000件を超えるときの再取得</x:v>
      </x:c>
      <x:c r="C101" s="79" t="str">
        <x:v>正常</x:v>
      </x:c>
      <x:c r="D101" s="82" t="str">
        <x:v>未実施</x:v>
      </x:c>
      <x:c r="E101" s="84"/>
      <x:c r="F101" s="82"/>
      <x:c r="G101" s="82"/>
      <x:c r="H101" s="82"/>
      <x:c r="I101" s="82" t="str"/>
      <x:c r="J101" s="79" t="str">
        <x:v>ループ・件数</x:v>
      </x:c>
    </x:row>
    <x:row r="102" ht="50" customHeight="1">
      <x:c r="A102" s="79" t="str">
        <x:v>UT-099</x:v>
      </x:c>
      <x:c r="B102" s="79" t="str">
        <x:v>複数バッチの対象混在</x:v>
      </x:c>
      <x:c r="C102" s="79" t="str">
        <x:v>正常</x:v>
      </x:c>
      <x:c r="D102" s="82" t="str">
        <x:v>未実施</x:v>
      </x:c>
      <x:c r="E102" s="84"/>
      <x:c r="F102" s="82"/>
      <x:c r="G102" s="82"/>
      <x:c r="H102" s="82"/>
      <x:c r="I102" s="82" t="str"/>
      <x:c r="J102" s="79" t="str">
        <x:v>ループ・件数</x:v>
      </x:c>
    </x:row>
    <x:row r="103" ht="50" customHeight="1">
      <x:c r="A103" s="79" t="str">
        <x:v>UT-100</x:v>
      </x:c>
      <x:c r="B103" s="79" t="str">
        <x:v>0件と重複データなし</x:v>
      </x:c>
      <x:c r="C103" s="79" t="str">
        <x:v>正常</x:v>
      </x:c>
      <x:c r="D103" s="82" t="str">
        <x:v>未実施</x:v>
      </x:c>
      <x:c r="E103" s="84"/>
      <x:c r="F103" s="82"/>
      <x:c r="G103" s="82"/>
      <x:c r="H103" s="82"/>
      <x:c r="I103" s="82" t="str"/>
      <x:c r="J103" s="79" t="str">
        <x:v>ループ・件数</x:v>
      </x:c>
    </x:row>
    <x:row r="104" ht="50" customHeight="1">
      <x:c r="A104" s="79" t="str">
        <x:v>UT-101</x:v>
      </x:c>
      <x:c r="B104" s="79" t="str">
        <x:v>IN件数とOUT件数一致</x:v>
      </x:c>
      <x:c r="C104" s="79" t="str">
        <x:v>正常</x:v>
      </x:c>
      <x:c r="D104" s="82" t="str">
        <x:v>未実施</x:v>
      </x:c>
      <x:c r="E104" s="84"/>
      <x:c r="F104" s="82"/>
      <x:c r="G104" s="82"/>
      <x:c r="H104" s="82"/>
      <x:c r="I104" s="82" t="str">
        <x:v>要確認：OUTは地点数か生データ日別件数か</x:v>
      </x:c>
      <x:c r="J104" s="79" t="str">
        <x:v>ループ・件数</x:v>
      </x:c>
    </x:row>
    <x:row r="105" ht="50" customHeight="1">
      <x:c r="A105" s="79" t="str">
        <x:v>UT-102</x:v>
      </x:c>
      <x:c r="B105" s="79" t="str">
        <x:v>INSERT/UPDATE混在件数</x:v>
      </x:c>
      <x:c r="C105" s="79" t="str">
        <x:v>正常</x:v>
      </x:c>
      <x:c r="D105" s="82" t="str">
        <x:v>未実施</x:v>
      </x:c>
      <x:c r="E105" s="84"/>
      <x:c r="F105" s="82"/>
      <x:c r="G105" s="82"/>
      <x:c r="H105" s="82"/>
      <x:c r="I105" s="82" t="str">
        <x:v>要確認：件数ログの粒度</x:v>
      </x:c>
      <x:c r="J105" s="79" t="str">
        <x:v>ループ・件数</x:v>
      </x:c>
    </x:row>
    <x:row r="106" ht="50" customHeight="1">
      <x:c r="A106" s="79" t="str">
        <x:v>UT-103</x:v>
      </x:c>
      <x:c r="B106" s="79" t="str">
        <x:v>エラー混在件数</x:v>
      </x:c>
      <x:c r="C106" s="79" t="str">
        <x:v>正常</x:v>
      </x:c>
      <x:c r="D106" s="82" t="str">
        <x:v>未実施</x:v>
      </x:c>
      <x:c r="E106" s="84"/>
      <x:c r="F106" s="82"/>
      <x:c r="G106" s="82"/>
      <x:c r="H106" s="82"/>
      <x:c r="I106" s="82" t="str">
        <x:v>要確認：異常時の件数カウント定義</x:v>
      </x:c>
      <x:c r="J106" s="79" t="str">
        <x:v>ループ・件数</x:v>
      </x:c>
    </x:row>
    <x:row r="107" ht="50" customHeight="1">
      <x:c r="A107" s="79" t="str">
        <x:v>UT-104</x:v>
      </x:c>
      <x:c r="B107" s="79" t="str">
        <x:v>同一供給地点の複数日</x:v>
      </x:c>
      <x:c r="C107" s="79" t="str">
        <x:v>正常</x:v>
      </x:c>
      <x:c r="D107" s="82" t="str">
        <x:v>未実施</x:v>
      </x:c>
      <x:c r="E107" s="84"/>
      <x:c r="F107" s="82"/>
      <x:c r="G107" s="82"/>
      <x:c r="H107" s="82"/>
      <x:c r="I107" s="82" t="str">
        <x:v>要確認：UPSERT競合キー</x:v>
      </x:c>
      <x:c r="J107" s="79" t="str">
        <x:v>ループ・件数</x:v>
      </x:c>
    </x:row>
    <x:row r="108" ht="50" customHeight="1">
      <x:c r="A108" s="79" t="str">
        <x:v>UT-105</x:v>
      </x:c>
      <x:c r="B108" s="79" t="str">
        <x:v>対象年月外データが大量</x:v>
      </x:c>
      <x:c r="C108" s="79" t="str">
        <x:v>正常</x:v>
      </x:c>
      <x:c r="D108" s="82" t="str">
        <x:v>未実施</x:v>
      </x:c>
      <x:c r="E108" s="84"/>
      <x:c r="F108" s="82"/>
      <x:c r="G108" s="82"/>
      <x:c r="H108" s="82"/>
      <x:c r="I108" s="82" t="str"/>
      <x:c r="J108" s="79" t="str">
        <x:v>ループ・件数</x:v>
      </x:c>
    </x:row>
    <x:row r="109" ht="50" customHeight="1">
      <x:c r="A109" s="79" t="str">
        <x:v>UT-106</x:v>
      </x:c>
      <x:c r="B109" s="79" t="str">
        <x:v>INFO出力</x:v>
      </x:c>
      <x:c r="C109" s="79" t="str">
        <x:v>正常</x:v>
      </x:c>
      <x:c r="D109" s="82" t="str">
        <x:v>未実施</x:v>
      </x:c>
      <x:c r="E109" s="84"/>
      <x:c r="F109" s="82"/>
      <x:c r="G109" s="82"/>
      <x:c r="H109" s="82"/>
      <x:c r="I109" s="82" t="str">
        <x:v>要確認：ログ文言・イベントID</x:v>
      </x:c>
      <x:c r="J109" s="79" t="str">
        <x:v>ログ・結果検証</x:v>
      </x:c>
    </x:row>
    <x:row r="110" ht="50" customHeight="1">
      <x:c r="A110" s="79" t="str">
        <x:v>UT-107</x:v>
      </x:c>
      <x:c r="B110" s="79" t="str">
        <x:v>DEBUG出力</x:v>
      </x:c>
      <x:c r="C110" s="79" t="str">
        <x:v>正常</x:v>
      </x:c>
      <x:c r="D110" s="82" t="str">
        <x:v>未実施</x:v>
      </x:c>
      <x:c r="E110" s="84"/>
      <x:c r="F110" s="82"/>
      <x:c r="G110" s="82"/>
      <x:c r="H110" s="82"/>
      <x:c r="I110" s="82" t="str">
        <x:v>要確認：DEBUGログ出力点</x:v>
      </x:c>
      <x:c r="J110" s="79" t="str">
        <x:v>ログ・結果検証</x:v>
      </x:c>
    </x:row>
    <x:row r="111" ht="50" customHeight="1">
      <x:c r="A111" s="79" t="str">
        <x:v>UT-108</x:v>
      </x:c>
      <x:c r="B111" s="79" t="str">
        <x:v>WARNING出力</x:v>
      </x:c>
      <x:c r="C111" s="79" t="str">
        <x:v>正常</x:v>
      </x:c>
      <x:c r="D111" s="82" t="str">
        <x:v>未実施</x:v>
      </x:c>
      <x:c r="E111" s="84"/>
      <x:c r="F111" s="82"/>
      <x:c r="G111" s="82"/>
      <x:c r="H111" s="82"/>
      <x:c r="I111" s="82" t="str">
        <x:v>要確認：WARNINGが発生する業務条件</x:v>
      </x:c>
      <x:c r="J111" s="79" t="str">
        <x:v>ログ・結果検証</x:v>
      </x:c>
    </x:row>
    <x:row r="112" ht="50" customHeight="1">
      <x:c r="A112" s="79" t="str">
        <x:v>UT-109</x:v>
      </x:c>
      <x:c r="B112" s="79" t="str">
        <x:v>ERROR出力</x:v>
      </x:c>
      <x:c r="C112" s="79" t="str">
        <x:v>異常</x:v>
      </x:c>
      <x:c r="D112" s="82" t="str">
        <x:v>未実施</x:v>
      </x:c>
      <x:c r="E112" s="84"/>
      <x:c r="F112" s="82"/>
      <x:c r="G112" s="82"/>
      <x:c r="H112" s="82"/>
      <x:c r="I112" s="82" t="str"/>
      <x:c r="J112" s="79" t="str">
        <x:v>ログ・結果検証</x:v>
      </x:c>
    </x:row>
    <x:row r="113" ht="50" customHeight="1">
      <x:c r="A113" s="79" t="str">
        <x:v>UT-110</x:v>
      </x:c>
      <x:c r="B113" s="79" t="str">
        <x:v>例外情報の保存</x:v>
      </x:c>
      <x:c r="C113" s="79" t="str">
        <x:v>異常</x:v>
      </x:c>
      <x:c r="D113" s="82" t="str">
        <x:v>未実施</x:v>
      </x:c>
      <x:c r="E113" s="84"/>
      <x:c r="F113" s="82"/>
      <x:c r="G113" s="82"/>
      <x:c r="H113" s="82"/>
      <x:c r="I113" s="82" t="str"/>
      <x:c r="J113" s="79" t="str">
        <x:v>ログ・結果検証</x:v>
      </x:c>
    </x:row>
    <x:row r="114" ht="50" customHeight="1">
      <x:c r="A114" s="79" t="str">
        <x:v>UT-111</x:v>
      </x:c>
      <x:c r="B114" s="79" t="str">
        <x:v>再実行時の冪等性</x:v>
      </x:c>
      <x:c r="C114" s="79" t="str">
        <x:v>正常</x:v>
      </x:c>
      <x:c r="D114" s="82" t="str">
        <x:v>未実施</x:v>
      </x:c>
      <x:c r="E114" s="84"/>
      <x:c r="F114" s="82"/>
      <x:c r="G114" s="82"/>
      <x:c r="H114" s="82"/>
      <x:c r="I114" s="82" t="str"/>
      <x:c r="J114" s="79" t="str">
        <x:v>ログ・結果検証</x:v>
      </x:c>
    </x:row>
    <x:row r="115" ht="50" customHeight="1">
      <x:c r="A115" s="79" t="str">
        <x:v>UT-112</x:v>
      </x:c>
      <x:c r="B115" s="79" t="str">
        <x:v>別地点に影響しない</x:v>
      </x:c>
      <x:c r="C115" s="79" t="str">
        <x:v>正常</x:v>
      </x:c>
      <x:c r="D115" s="82" t="str">
        <x:v>未実施</x:v>
      </x:c>
      <x:c r="E115" s="84"/>
      <x:c r="F115" s="82"/>
      <x:c r="G115" s="82"/>
      <x:c r="H115" s="82"/>
      <x:c r="I115" s="82" t="str"/>
      <x:c r="J115" s="79" t="str">
        <x:v>ログ・結果検証</x:v>
      </x:c>
    </x:row>
  </x:sheetData>
  <x:mergeCells>
    <x:mergeCell ref="A1:J1"/>
    <x:mergeCell ref="A2:J2"/>
  </x:mergeCells>
  <x:dataValidations count="1">
    <x:dataValidation type="list" sqref="D4:D115">
      <x:formula1>"未実施,OK,NG,保留,対象外"</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5" hidden="0" customWidth="1"/>
    <x:col min="2" max="2" width="16" hidden="0" customWidth="1"/>
    <x:col min="3" max="3" width="15" hidden="0" customWidth="1"/>
    <x:col min="4" max="4" width="15" hidden="0" customWidth="1"/>
    <x:col min="5" max="5" width="15" hidden="0" customWidth="1"/>
    <x:col min="6" max="6" width="17" hidden="0" customWidth="1"/>
    <x:col min="7" max="7" width="14" hidden="0" customWidth="1"/>
    <x:col min="8" max="8" width="16" hidden="0" customWidth="1"/>
    <x:col min="9" max="9" width="15" hidden="0" customWidth="1"/>
    <x:col min="10" max="10" width="18" hidden="0" customWidth="1"/>
  </x:cols>
  <x:sheetData>
    <x:row r="1" ht="37" customHeight="1">
      <x:c r="A1" s="13" t="str">
        <x:v>単体テスト　実施サマリー</x:v>
      </x:c>
      <x:c r="B1" s="13"/>
      <x:c r="C1" s="13"/>
      <x:c r="D1" s="13"/>
      <x:c r="E1" s="13"/>
      <x:c r="F1" s="13"/>
      <x:c r="G1" s="13"/>
      <x:c r="H1" s="13"/>
      <x:c r="I1" s="13"/>
      <x:c r="J1" s="13"/>
    </x:row>
    <x:row r="2">
      <x:c r="A2" t="str">
        <x:v>ケースごとの判定は「実施結果管理」シートに入力します。未確定仕様のケースは「要確認事項」を参照してください。</x:v>
      </x:c>
    </x:row>
    <x:row r="4" ht="31" customHeight="1">
      <x:c r="A4" s="64" t="str">
        <x:v>総ケース</x:v>
      </x:c>
      <x:c r="B4" s="64"/>
      <x:c r="C4" s="64" t="str">
        <x:v>未実施</x:v>
      </x:c>
      <x:c r="D4" s="64"/>
      <x:c r="E4" s="64" t="str">
        <x:v>OK</x:v>
      </x:c>
      <x:c r="F4" s="64"/>
      <x:c r="G4" s="64" t="str">
        <x:v>NG</x:v>
      </x:c>
      <x:c r="H4" s="64"/>
      <x:c r="I4" s="64" t="str">
        <x:v>保留</x:v>
      </x:c>
      <x:c r="J4" s="64"/>
    </x:row>
    <x:row r="5" ht="35" customHeight="1">
      <x:c r="A5" s="90" t="n">
        <x:f>SUM('単体テスト1ケース・結果一覧表'!D7:D118)</x:f>
        <x:v>112</x:v>
      </x:c>
      <x:c r="B5" s="90"/>
      <x:c r="C5" s="90" t="n">
        <x:f>COUNTIF('実施結果管理'!D4:D115,"未実施")</x:f>
        <x:v>112</x:v>
      </x:c>
      <x:c r="D5" s="90"/>
      <x:c r="E5" s="90" t="n">
        <x:f>COUNTIF('実施結果管理'!D4:D115,"OK")</x:f>
        <x:v>0</x:v>
      </x:c>
      <x:c r="F5" s="90"/>
      <x:c r="G5" s="90" t="n">
        <x:f>COUNTIF('実施結果管理'!D4:D115,"NG")</x:f>
        <x:v>0</x:v>
      </x:c>
      <x:c r="H5" s="90"/>
      <x:c r="I5" s="90" t="n">
        <x:f>COUNTIF('実施結果管理'!D4:D115,"保留")</x:f>
        <x:v>0</x:v>
      </x:c>
      <x:c r="J5" s="90"/>
    </x:row>
    <x:row r="8" ht="31" customHeight="1">
      <x:c r="A8" s="65" t="str">
        <x:v>テスト分類（大分類）</x:v>
      </x:c>
      <x:c r="B8" s="65" t="str">
        <x:v>ケース数</x:v>
      </x:c>
      <x:c r="C8" s="65" t="str">
        <x:v>OK</x:v>
      </x:c>
      <x:c r="D8" s="65" t="str">
        <x:v>NG</x:v>
      </x:c>
      <x:c r="E8" s="65" t="str">
        <x:v>保留</x:v>
      </x:c>
      <x:c r="F8" s="65" t="str">
        <x:v>未実施</x:v>
      </x:c>
      <x:c r="G8" s="65" t="str">
        <x:v>対象外</x:v>
      </x:c>
    </x:row>
    <x:row r="9" ht="28" customHeight="1">
      <x:c r="A9" s="93" t="str">
        <x:v>実行年月・対象年月</x:v>
      </x:c>
      <x:c r="B9" s="93" t="n">
        <x:f>COUNTIF('実施結果管理'!$J$4:$J$115,A9)</x:f>
        <x:v>10</x:v>
      </x:c>
      <x:c r="C9" s="93" t="n">
        <x:f>COUNTIFS('実施結果管理'!$J$4:$J$115,A9,'実施結果管理'!$D$4:$D$115,"OK")</x:f>
        <x:v>0</x:v>
      </x:c>
      <x:c r="D9" s="93" t="n">
        <x:f>COUNTIFS('実施結果管理'!$J$4:$J$115,A9,'実施結果管理'!$D$4:$D$115,"NG")</x:f>
        <x:v>0</x:v>
      </x:c>
      <x:c r="E9" s="93" t="n">
        <x:f>COUNTIFS('実施結果管理'!$J$4:$J$115,A9,'実施結果管理'!$D$4:$D$115,"保留")</x:f>
        <x:v>0</x:v>
      </x:c>
      <x:c r="F9" s="93" t="n">
        <x:f>COUNTIFS('実施結果管理'!$J$4:$J$115,A9,'実施結果管理'!$D$4:$D$115,"未実施")</x:f>
        <x:v>10</x:v>
      </x:c>
      <x:c r="G9" s="93" t="n">
        <x:f>COUNTIFS('実施結果管理'!$J$4:$J$115,A9,'実施結果管理'!$D$4:$D$115,"対象外")</x:f>
        <x:v>0</x:v>
      </x:c>
    </x:row>
    <x:row r="10" ht="28" customHeight="1">
      <x:c r="A10" s="93" t="str">
        <x:v>処理対象取得</x:v>
      </x:c>
      <x:c r="B10" s="93" t="n">
        <x:f>COUNTIF('実施結果管理'!$J$4:$J$115,A10)</x:f>
        <x:v>17</x:v>
      </x:c>
      <x:c r="C10" s="93" t="n">
        <x:f>COUNTIFS('実施結果管理'!$J$4:$J$115,A10,'実施結果管理'!$D$4:$D$115,"OK")</x:f>
        <x:v>0</x:v>
      </x:c>
      <x:c r="D10" s="93" t="n">
        <x:f>COUNTIFS('実施結果管理'!$J$4:$J$115,A10,'実施結果管理'!$D$4:$D$115,"NG")</x:f>
        <x:v>0</x:v>
      </x:c>
      <x:c r="E10" s="93" t="n">
        <x:f>COUNTIFS('実施結果管理'!$J$4:$J$115,A10,'実施結果管理'!$D$4:$D$115,"保留")</x:f>
        <x:v>0</x:v>
      </x:c>
      <x:c r="F10" s="93" t="n">
        <x:f>COUNTIFS('実施結果管理'!$J$4:$J$115,A10,'実施結果管理'!$D$4:$D$115,"未実施")</x:f>
        <x:v>17</x:v>
      </x:c>
      <x:c r="G10" s="93" t="n">
        <x:f>COUNTIFS('実施結果管理'!$J$4:$J$115,A10,'実施結果管理'!$D$4:$D$115,"対象外")</x:f>
        <x:v>0</x:v>
      </x:c>
    </x:row>
    <x:row r="11" ht="28" customHeight="1">
      <x:c r="A11" s="93" t="str">
        <x:v>連携元データ結合</x:v>
      </x:c>
      <x:c r="B11" s="93" t="n">
        <x:f>COUNTIF('実施結果管理'!$J$4:$J$115,A11)</x:f>
        <x:v>14</x:v>
      </x:c>
      <x:c r="C11" s="93" t="n">
        <x:f>COUNTIFS('実施結果管理'!$J$4:$J$115,A11,'実施結果管理'!$D$4:$D$115,"OK")</x:f>
        <x:v>0</x:v>
      </x:c>
      <x:c r="D11" s="93" t="n">
        <x:f>COUNTIFS('実施結果管理'!$J$4:$J$115,A11,'実施結果管理'!$D$4:$D$115,"NG")</x:f>
        <x:v>0</x:v>
      </x:c>
      <x:c r="E11" s="93" t="n">
        <x:f>COUNTIFS('実施結果管理'!$J$4:$J$115,A11,'実施結果管理'!$D$4:$D$115,"保留")</x:f>
        <x:v>0</x:v>
      </x:c>
      <x:c r="F11" s="93" t="n">
        <x:f>COUNTIFS('実施結果管理'!$J$4:$J$115,A11,'実施結果管理'!$D$4:$D$115,"未実施")</x:f>
        <x:v>14</x:v>
      </x:c>
      <x:c r="G11" s="93" t="n">
        <x:f>COUNTIFS('実施結果管理'!$J$4:$J$115,A11,'実施結果管理'!$D$4:$D$115,"対象外")</x:f>
        <x:v>0</x:v>
      </x:c>
    </x:row>
    <x:row r="12" ht="28" customHeight="1">
      <x:c r="A12" s="93" t="str">
        <x:v>項目設定・データ変換</x:v>
      </x:c>
      <x:c r="B12" s="93" t="n">
        <x:f>COUNTIF('実施結果管理'!$J$4:$J$115,A12)</x:f>
        <x:v>28</x:v>
      </x:c>
      <x:c r="C12" s="93" t="n">
        <x:f>COUNTIFS('実施結果管理'!$J$4:$J$115,A12,'実施結果管理'!$D$4:$D$115,"OK")</x:f>
        <x:v>0</x:v>
      </x:c>
      <x:c r="D12" s="93" t="n">
        <x:f>COUNTIFS('実施結果管理'!$J$4:$J$115,A12,'実施結果管理'!$D$4:$D$115,"NG")</x:f>
        <x:v>0</x:v>
      </x:c>
      <x:c r="E12" s="93" t="n">
        <x:f>COUNTIFS('実施結果管理'!$J$4:$J$115,A12,'実施結果管理'!$D$4:$D$115,"保留")</x:f>
        <x:v>0</x:v>
      </x:c>
      <x:c r="F12" s="93" t="n">
        <x:f>COUNTIFS('実施結果管理'!$J$4:$J$115,A12,'実施結果管理'!$D$4:$D$115,"未実施")</x:f>
        <x:v>28</x:v>
      </x:c>
      <x:c r="G12" s="93" t="n">
        <x:f>COUNTIFS('実施結果管理'!$J$4:$J$115,A12,'実施結果管理'!$D$4:$D$115,"対象外")</x:f>
        <x:v>0</x:v>
      </x:c>
    </x:row>
    <x:row r="13" ht="28" customHeight="1">
      <x:c r="A13" s="93" t="str">
        <x:v>UPSERT登録・更新</x:v>
      </x:c>
      <x:c r="B13" s="93" t="n">
        <x:f>COUNTIF('実施結果管理'!$J$4:$J$115,A13)</x:f>
        <x:v>10</x:v>
      </x:c>
      <x:c r="C13" s="93" t="n">
        <x:f>COUNTIFS('実施結果管理'!$J$4:$J$115,A13,'実施結果管理'!$D$4:$D$115,"OK")</x:f>
        <x:v>0</x:v>
      </x:c>
      <x:c r="D13" s="93" t="n">
        <x:f>COUNTIFS('実施結果管理'!$J$4:$J$115,A13,'実施結果管理'!$D$4:$D$115,"NG")</x:f>
        <x:v>0</x:v>
      </x:c>
      <x:c r="E13" s="93" t="n">
        <x:f>COUNTIFS('実施結果管理'!$J$4:$J$115,A13,'実施結果管理'!$D$4:$D$115,"保留")</x:f>
        <x:v>0</x:v>
      </x:c>
      <x:c r="F13" s="93" t="n">
        <x:f>COUNTIFS('実施結果管理'!$J$4:$J$115,A13,'実施結果管理'!$D$4:$D$115,"未実施")</x:f>
        <x:v>10</x:v>
      </x:c>
      <x:c r="G13" s="93" t="n">
        <x:f>COUNTIFS('実施結果管理'!$J$4:$J$115,A13,'実施結果管理'!$D$4:$D$115,"対象外")</x:f>
        <x:v>0</x:v>
      </x:c>
    </x:row>
    <x:row r="14" ht="28" customHeight="1">
      <x:c r="A14" s="93" t="str">
        <x:v>処理対象の成功更新</x:v>
      </x:c>
      <x:c r="B14" s="93" t="n">
        <x:f>COUNTIF('実施結果管理'!$J$4:$J$115,A14)</x:f>
        <x:v>6</x:v>
      </x:c>
      <x:c r="C14" s="93" t="n">
        <x:f>COUNTIFS('実施結果管理'!$J$4:$J$115,A14,'実施結果管理'!$D$4:$D$115,"OK")</x:f>
        <x:v>0</x:v>
      </x:c>
      <x:c r="D14" s="93" t="n">
        <x:f>COUNTIFS('実施結果管理'!$J$4:$J$115,A14,'実施結果管理'!$D$4:$D$115,"NG")</x:f>
        <x:v>0</x:v>
      </x:c>
      <x:c r="E14" s="93" t="n">
        <x:f>COUNTIFS('実施結果管理'!$J$4:$J$115,A14,'実施結果管理'!$D$4:$D$115,"保留")</x:f>
        <x:v>0</x:v>
      </x:c>
      <x:c r="F14" s="93" t="n">
        <x:f>COUNTIFS('実施結果管理'!$J$4:$J$115,A14,'実施結果管理'!$D$4:$D$115,"未実施")</x:f>
        <x:v>6</x:v>
      </x:c>
      <x:c r="G14" s="93" t="n">
        <x:f>COUNTIFS('実施結果管理'!$J$4:$J$115,A14,'実施結果管理'!$D$4:$D$115,"対象外")</x:f>
        <x:v>0</x:v>
      </x:c>
    </x:row>
    <x:row r="15" ht="28" customHeight="1">
      <x:c r="A15" s="93" t="str">
        <x:v>異常系・トランザクション</x:v>
      </x:c>
      <x:c r="B15" s="93" t="n">
        <x:f>COUNTIF('実施結果管理'!$J$4:$J$115,A15)</x:f>
        <x:v>11</x:v>
      </x:c>
      <x:c r="C15" s="93" t="n">
        <x:f>COUNTIFS('実施結果管理'!$J$4:$J$115,A15,'実施結果管理'!$D$4:$D$115,"OK")</x:f>
        <x:v>0</x:v>
      </x:c>
      <x:c r="D15" s="93" t="n">
        <x:f>COUNTIFS('実施結果管理'!$J$4:$J$115,A15,'実施結果管理'!$D$4:$D$115,"NG")</x:f>
        <x:v>0</x:v>
      </x:c>
      <x:c r="E15" s="93" t="n">
        <x:f>COUNTIFS('実施結果管理'!$J$4:$J$115,A15,'実施結果管理'!$D$4:$D$115,"保留")</x:f>
        <x:v>0</x:v>
      </x:c>
      <x:c r="F15" s="93" t="n">
        <x:f>COUNTIFS('実施結果管理'!$J$4:$J$115,A15,'実施結果管理'!$D$4:$D$115,"未実施")</x:f>
        <x:v>11</x:v>
      </x:c>
      <x:c r="G15" s="93" t="n">
        <x:f>COUNTIFS('実施結果管理'!$J$4:$J$115,A15,'実施結果管理'!$D$4:$D$115,"対象外")</x:f>
        <x:v>0</x:v>
      </x:c>
    </x:row>
    <x:row r="16" ht="28" customHeight="1">
      <x:c r="A16" s="93" t="str">
        <x:v>ループ・件数</x:v>
      </x:c>
      <x:c r="B16" s="93" t="n">
        <x:f>COUNTIF('実施結果管理'!$J$4:$J$115,A16)</x:f>
        <x:v>9</x:v>
      </x:c>
      <x:c r="C16" s="93" t="n">
        <x:f>COUNTIFS('実施結果管理'!$J$4:$J$115,A16,'実施結果管理'!$D$4:$D$115,"OK")</x:f>
        <x:v>0</x:v>
      </x:c>
      <x:c r="D16" s="93" t="n">
        <x:f>COUNTIFS('実施結果管理'!$J$4:$J$115,A16,'実施結果管理'!$D$4:$D$115,"NG")</x:f>
        <x:v>0</x:v>
      </x:c>
      <x:c r="E16" s="93" t="n">
        <x:f>COUNTIFS('実施結果管理'!$J$4:$J$115,A16,'実施結果管理'!$D$4:$D$115,"保留")</x:f>
        <x:v>0</x:v>
      </x:c>
      <x:c r="F16" s="93" t="n">
        <x:f>COUNTIFS('実施結果管理'!$J$4:$J$115,A16,'実施結果管理'!$D$4:$D$115,"未実施")</x:f>
        <x:v>9</x:v>
      </x:c>
      <x:c r="G16" s="93" t="n">
        <x:f>COUNTIFS('実施結果管理'!$J$4:$J$115,A16,'実施結果管理'!$D$4:$D$115,"対象外")</x:f>
        <x:v>0</x:v>
      </x:c>
    </x:row>
    <x:row r="17" ht="28" customHeight="1">
      <x:c r="A17" s="93" t="str">
        <x:v>ログ・結果検証</x:v>
      </x:c>
      <x:c r="B17" s="93" t="n">
        <x:f>COUNTIF('実施結果管理'!$J$4:$J$115,A17)</x:f>
        <x:v>7</x:v>
      </x:c>
      <x:c r="C17" s="93" t="n">
        <x:f>COUNTIFS('実施結果管理'!$J$4:$J$115,A17,'実施結果管理'!$D$4:$D$115,"OK")</x:f>
        <x:v>0</x:v>
      </x:c>
      <x:c r="D17" s="93" t="n">
        <x:f>COUNTIFS('実施結果管理'!$J$4:$J$115,A17,'実施結果管理'!$D$4:$D$115,"NG")</x:f>
        <x:v>0</x:v>
      </x:c>
      <x:c r="E17" s="93" t="n">
        <x:f>COUNTIFS('実施結果管理'!$J$4:$J$115,A17,'実施結果管理'!$D$4:$D$115,"保留")</x:f>
        <x:v>0</x:v>
      </x:c>
      <x:c r="F17" s="93" t="n">
        <x:f>COUNTIFS('実施結果管理'!$J$4:$J$115,A17,'実施結果管理'!$D$4:$D$115,"未実施")</x:f>
        <x:v>7</x:v>
      </x:c>
      <x:c r="G17" s="93" t="n">
        <x:f>COUNTIFS('実施結果管理'!$J$4:$J$115,A17,'実施結果管理'!$D$4:$D$115,"対象外")</x:f>
        <x:v>0</x:v>
      </x:c>
    </x:row>
    <x:row r="18" ht="29" customHeight="1">
      <x:c r="A18" s="65" t="str">
        <x:v>合計</x:v>
      </x:c>
      <x:c r="B18" s="65" t="n">
        <x:f>SUM(B9:B17)</x:f>
        <x:v>112</x:v>
      </x:c>
      <x:c r="C18" s="65" t="n">
        <x:f>SUM(C9:C17)</x:f>
        <x:v>0</x:v>
      </x:c>
      <x:c r="D18" s="65" t="n">
        <x:f>SUM(D9:D17)</x:f>
        <x:v>0</x:v>
      </x:c>
      <x:c r="E18" s="65" t="n">
        <x:f>SUM(E9:E17)</x:f>
        <x:v>0</x:v>
      </x:c>
      <x:c r="F18" s="65" t="n">
        <x:f>SUM(F9:F17)</x:f>
        <x:v>112</x:v>
      </x:c>
      <x:c r="G18" s="65" t="n">
        <x:f>SUM(G9:G17)</x:f>
        <x:v>0</x:v>
      </x:c>
    </x:row>
    <x:row r="20" ht="30" customHeight="1">
      <x:c r="A20" s="96" t="str">
        <x:v>テストケース：UT-001～UT-112 ／ テストデータ：TD-01～TD-72 ／ 仕様確認事項：15件</x:v>
      </x:c>
      <x:c r="B20" s="96"/>
      <x:c r="C20" s="96"/>
      <x:c r="D20" s="96"/>
      <x:c r="E20" s="96"/>
      <x:c r="F20" s="96"/>
      <x:c r="G20" s="96"/>
      <x:c r="H20" s="96"/>
      <x:c r="I20" s="96"/>
      <x:c r="J20" s="96"/>
    </x:row>
    <x:row r="21" ht="30" customHeight="1">
      <x:c r="A21" s="96" t="str">
        <x:v>新フォーマット：A=ケース番号 / B=テスト分類 / C=テスト内容 / D=ケース数 / E=正常・異常 / F=テスト手順 / G=エビデンス取得対象 / H=予想結果 / I=備考</x:v>
      </x:c>
      <x:c r="B21" s="96"/>
      <x:c r="C21" s="96"/>
      <x:c r="D21" s="96"/>
      <x:c r="E21" s="96"/>
      <x:c r="F21" s="96"/>
      <x:c r="G21" s="96"/>
      <x:c r="H21" s="96"/>
      <x:c r="I21" s="96"/>
      <x:c r="J21" s="96"/>
    </x:row>
  </x:sheetData>
  <x:mergeCells>
    <x:mergeCell ref="A1:J1"/>
    <x:mergeCell ref="A2:J2"/>
    <x:mergeCell ref="A20:J20"/>
    <x:mergeCell ref="A21:J21"/>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2" hidden="0" customWidth="1"/>
    <x:col min="2" max="2" width="102" hidden="0" customWidth="1"/>
    <x:col min="3" max="3" width="54" hidden="0" customWidth="1"/>
    <x:col min="4" max="4" width="53" hidden="0" customWidth="1"/>
  </x:cols>
  <x:sheetData>
    <x:row r="1" ht="36" customHeight="1">
      <x:c r="A1" s="86" t="str">
        <x:v>テストデータ準備一覧（TD-01 ～ TD-72）</x:v>
      </x:c>
      <x:c r="B1" s="86"/>
      <x:c r="C1" s="86"/>
      <x:c r="D1" s="86"/>
    </x:row>
    <x:row r="2" ht="27" customHeight="1">
      <x:c r="A2" s="2" t="str">
        <x:v>全ケースにテストデータIDを付与。各ケースの「テストデータ要件」列から参照できます。</x:v>
      </x:c>
      <x:c r="B2" s="2"/>
      <x:c r="C2" s="2"/>
      <x:c r="D2" s="2"/>
    </x:row>
    <x:row r="3" ht="30" customHeight="1">
      <x:c r="A3" s="75" t="str">
        <x:v>データID</x:v>
      </x:c>
      <x:c r="B3" s="75" t="str">
        <x:v>用途・投入データ</x:v>
      </x:c>
      <x:c r="C3" s="75" t="str">
        <x:v>事前確認</x:v>
      </x:c>
      <x:c r="D3" s="75" t="str">
        <x:v>後片付け</x:v>
      </x:c>
    </x:row>
    <x:row r="4" ht="56" customHeight="1">
      <x:c r="A4" s="79" t="str">
        <x:v>TD-01</x:v>
      </x:c>
      <x:c r="B4" s="79" t="str">
        <x:v>基準正常データ。実行日2026/10/18、紐付け対象年月2026/07。30分値取込管理=状態3・対象年月2026/07・紐付け日時NULL。建物マスタ削除FALSE、企業基本情報マスタ、ARVEお客さま情報、EP30分値（2026/07/01、48コマ）がすべてキー一致。</x:v>
      </x:c>
      <x:c r="C4" s="79" t="str">
        <x:v>対象テーブル／元データの事前状態をDB照会で記録</x:v>
      </x:c>
      <x:c r="D4" s="79" t="str">
        <x:v>関連するテスト投入行をリセットし次ケースへの干渉を防止</x:v>
      </x:c>
    </x:row>
    <x:row r="5" ht="56" customHeight="1">
      <x:c r="A5" s="88" t="str">
        <x:v>TD-02</x:v>
      </x:c>
      <x:c r="B5" s="88" t="str">
        <x:v>実行日を月初1日（例:2026/10/01）に固定。対象データはその日付から算出される対象年月で設定。</x:v>
      </x:c>
      <x:c r="C5" s="88" t="str">
        <x:v>対象テーブル／元データの事前状態をDB照会で記録</x:v>
      </x:c>
      <x:c r="D5" s="88" t="str">
        <x:v>関連するテスト投入行をリセットし次ケースへの干渉を防止</x:v>
      </x:c>
    </x:row>
    <x:row r="6" ht="56" customHeight="1">
      <x:c r="A6" s="79" t="str">
        <x:v>TD-03</x:v>
      </x:c>
      <x:c r="B6" s="79" t="str">
        <x:v>実行日を18日（例:2026/10/18）に固定。対象年月=2026/07。</x:v>
      </x:c>
      <x:c r="C6" s="79" t="str">
        <x:v>対象テーブル／元データの事前状態をDB照会で記録</x:v>
      </x:c>
      <x:c r="D6" s="79" t="str">
        <x:v>関連するテスト投入行をリセットし次ケースへの干渉を防止</x:v>
      </x:c>
    </x:row>
    <x:row r="7" ht="56" customHeight="1">
      <x:c r="A7" s="88" t="str">
        <x:v>TD-04</x:v>
      </x:c>
      <x:c r="B7" s="88" t="str">
        <x:v>実行日を19日（例:2026/10/19）に固定。対象年月=2026/08。</x:v>
      </x:c>
      <x:c r="C7" s="88" t="str">
        <x:v>対象テーブル／元データの事前状態をDB照会で記録</x:v>
      </x:c>
      <x:c r="D7" s="88" t="str">
        <x:v>関連するテスト投入行をリセットし次ケースへの干渉を防止</x:v>
      </x:c>
    </x:row>
    <x:row r="8" ht="56" customHeight="1">
      <x:c r="A8" s="79" t="str">
        <x:v>TD-05</x:v>
      </x:c>
      <x:c r="B8" s="79" t="str">
        <x:v>実行日を月末（例:2026/10/31）に固定。対象年月=2026/08。</x:v>
      </x:c>
      <x:c r="C8" s="79" t="str">
        <x:v>対象テーブル／元データの事前状態をDB照会で記録</x:v>
      </x:c>
      <x:c r="D8" s="79" t="str">
        <x:v>関連するテスト投入行をリセットし次ケースへの干渉を防止</x:v>
      </x:c>
    </x:row>
    <x:row r="9" ht="56" customHeight="1">
      <x:c r="A9" s="88" t="str">
        <x:v>TD-06</x:v>
      </x:c>
      <x:c r="B9" s="88" t="str">
        <x:v>実行日を2026/01/18に固定。対象年月として2025/10の管理・EPデータを準備。</x:v>
      </x:c>
      <x:c r="C9" s="88" t="str">
        <x:v>対象テーブル／元データの事前状態をDB照会で記録</x:v>
      </x:c>
      <x:c r="D9" s="88" t="str">
        <x:v>関連するテスト投入行をリセットし次ケースへの干渉を防止</x:v>
      </x:c>
    </x:row>
    <x:row r="10" ht="56" customHeight="1">
      <x:c r="A10" s="79" t="str">
        <x:v>TD-07</x:v>
      </x:c>
      <x:c r="B10" s="79" t="str">
        <x:v>実行日を2026/01/19に固定。対象年月として2025/11の管理・EPデータを準備。</x:v>
      </x:c>
      <x:c r="C10" s="79" t="str">
        <x:v>対象テーブル／元データの事前状態をDB照会で記録</x:v>
      </x:c>
      <x:c r="D10" s="79" t="str">
        <x:v>関連するテスト投入行をリセットし次ケースへの干渉を防止</x:v>
      </x:c>
    </x:row>
    <x:row r="11" ht="56" customHeight="1">
      <x:c r="A11" s="88" t="str">
        <x:v>TD-08</x:v>
      </x:c>
      <x:c r="B11" s="88" t="str">
        <x:v>うるう年の2028/02/29を固定実行日とし、前年12月を対象とするデータを準備。</x:v>
      </x:c>
      <x:c r="C11" s="88" t="str">
        <x:v>対象テーブル／元データの事前状態をDB照会で記録</x:v>
      </x:c>
      <x:c r="D11" s="88" t="str">
        <x:v>関連するテスト投入行をリセットし次ケースへの干渉を防止</x:v>
      </x:c>
    </x:row>
    <x:row r="12" ht="56" customHeight="1">
      <x:c r="A12" s="79" t="str">
        <x:v>TD-09</x:v>
      </x:c>
      <x:c r="B12" s="79" t="str">
        <x:v>状態3・対象年月一致・紐付け日時NULL・有効建物マスタの条件を同時に満たす管理行が0件。</x:v>
      </x:c>
      <x:c r="C12" s="79" t="str">
        <x:v>対象テーブル／元データの事前状態をDB照会で記録</x:v>
      </x:c>
      <x:c r="D12" s="79" t="str">
        <x:v>関連するテスト投入行をリセットし次ケースへの干渉を防止</x:v>
      </x:c>
    </x:row>
    <x:row r="13" ht="56" customHeight="1">
      <x:c r="A13" s="88" t="str">
        <x:v>TD-10</x:v>
      </x:c>
      <x:c r="B13" s="88" t="str">
        <x:v>基準管理行の状態だけを3以外（例:2）へ変更。</x:v>
      </x:c>
      <x:c r="C13" s="88" t="str">
        <x:v>対象テーブル／元データの事前状態をDB照会で記録</x:v>
      </x:c>
      <x:c r="D13" s="88" t="str">
        <x:v>関連するテスト投入行をリセットし次ケースへの干渉を防止</x:v>
      </x:c>
    </x:row>
    <x:row r="14" ht="56" customHeight="1">
      <x:c r="A14" s="79" t="str">
        <x:v>TD-11</x:v>
      </x:c>
      <x:c r="B14" s="79" t="str">
        <x:v>基準管理行の状態をNULLにする（列制約が許す場合のみ）。</x:v>
      </x:c>
      <x:c r="C14" s="79" t="str">
        <x:v>対象テーブル／元データの事前状態をDB照会で記録</x:v>
      </x:c>
      <x:c r="D14" s="79" t="str">
        <x:v>関連するテスト投入行をリセットし次ケースへの干渉を防止</x:v>
      </x:c>
    </x:row>
    <x:row r="15" ht="56" customHeight="1">
      <x:c r="A15" s="88" t="str">
        <x:v>TD-12</x:v>
      </x:c>
      <x:c r="B15" s="88" t="str">
        <x:v>基準管理行のレポート作成対象年月を計算対象年月より前／後の月に変更。</x:v>
      </x:c>
      <x:c r="C15" s="88" t="str">
        <x:v>対象テーブル／元データの事前状態をDB照会で記録</x:v>
      </x:c>
      <x:c r="D15" s="88" t="str">
        <x:v>関連するテスト投入行をリセットし次ケースへの干渉を防止</x:v>
      </x:c>
    </x:row>
    <x:row r="16" ht="56" customHeight="1">
      <x:c r="A16" s="79" t="str">
        <x:v>TD-13</x:v>
      </x:c>
      <x:c r="B16" s="79" t="str">
        <x:v>基準管理行の紐付け日時を過去日時に設定。</x:v>
      </x:c>
      <x:c r="C16" s="79" t="str">
        <x:v>対象テーブル／元データの事前状態をDB照会で記録</x:v>
      </x:c>
      <x:c r="D16" s="79" t="str">
        <x:v>関連するテスト投入行をリセットし次ケースへの干渉を防止</x:v>
      </x:c>
    </x:row>
    <x:row r="17" ht="56" customHeight="1">
      <x:c r="A17" s="88" t="str">
        <x:v>TD-14</x:v>
      </x:c>
      <x:c r="B17" s="88" t="str">
        <x:v>管理テーブルの紐付け日時に空文字を用意（日時列が許す場合のみ）。</x:v>
      </x:c>
      <x:c r="C17" s="88" t="str">
        <x:v>対象テーブル／元データの事前状態をDB照会で記録</x:v>
      </x:c>
      <x:c r="D17" s="88" t="str">
        <x:v>関連するテスト投入行をリセットし次ケースへの干渉を防止</x:v>
      </x:c>
    </x:row>
    <x:row r="18" ht="56" customHeight="1">
      <x:c r="A18" s="79" t="str">
        <x:v>TD-15</x:v>
      </x:c>
      <x:c r="B18" s="79" t="str">
        <x:v>管理行は基準正常、対応する供給地点特定番号の建物マスタを削除。</x:v>
      </x:c>
      <x:c r="C18" s="79" t="str">
        <x:v>対象テーブル／元データの事前状態をDB照会で記録</x:v>
      </x:c>
      <x:c r="D18" s="79" t="str">
        <x:v>関連するテスト投入行をリセットし次ケースへの干渉を防止</x:v>
      </x:c>
    </x:row>
    <x:row r="19" ht="56" customHeight="1">
      <x:c r="A19" s="88" t="str">
        <x:v>TD-16</x:v>
      </x:c>
      <x:c r="B19" s="88" t="str">
        <x:v>建物マスタは存在するが削除フラグTRUE。</x:v>
      </x:c>
      <x:c r="C19" s="88" t="str">
        <x:v>対象テーブル／元データの事前状態をDB照会で記録</x:v>
      </x:c>
      <x:c r="D19" s="88" t="str">
        <x:v>関連するテスト投入行をリセットし次ケースへの干渉を防止</x:v>
      </x:c>
    </x:row>
    <x:row r="20" ht="56" customHeight="1">
      <x:c r="A20" s="79" t="str">
        <x:v>TD-17</x:v>
      </x:c>
      <x:c r="B20" s="79" t="str">
        <x:v>管理行と建物マスタの供給地点特定番号を不一致にする。</x:v>
      </x:c>
      <x:c r="C20" s="79" t="str">
        <x:v>対象テーブル／元データの事前状態をDB照会で記録</x:v>
      </x:c>
      <x:c r="D20" s="79" t="str">
        <x:v>関連するテスト投入行をリセットし次ケースへの干渉を防止</x:v>
      </x:c>
    </x:row>
    <x:row r="21" ht="56" customHeight="1">
      <x:c r="A21" s="88" t="str">
        <x:v>TD-18</x:v>
      </x:c>
      <x:c r="B21" s="88" t="str">
        <x:v>対象条件を満たす供給地点の管理行・有効建物マスタを999件準備。</x:v>
      </x:c>
      <x:c r="C21" s="88" t="str">
        <x:v>対象テーブル／元データの事前状態をDB照会で記録</x:v>
      </x:c>
      <x:c r="D21" s="88" t="str">
        <x:v>関連するテスト投入行をリセットし次ケースへの干渉を防止</x:v>
      </x:c>
    </x:row>
    <x:row r="22" ht="56" customHeight="1">
      <x:c r="A22" s="79" t="str">
        <x:v>TD-19</x:v>
      </x:c>
      <x:c r="B22" s="79" t="str">
        <x:v>対象条件を満たす供給地点の管理行・有効建物マスタを1000件準備。</x:v>
      </x:c>
      <x:c r="C22" s="79" t="str">
        <x:v>対象テーブル／元データの事前状態をDB照会で記録</x:v>
      </x:c>
      <x:c r="D22" s="79" t="str">
        <x:v>関連するテスト投入行をリセットし次ケースへの干渉を防止</x:v>
      </x:c>
    </x:row>
    <x:row r="23" ht="56" customHeight="1">
      <x:c r="A23" s="88" t="str">
        <x:v>TD-20</x:v>
      </x:c>
      <x:c r="B23" s="88" t="str">
        <x:v>対象条件を満たす供給地点の管理行・有効建物マスタを1001件準備。</x:v>
      </x:c>
      <x:c r="C23" s="88" t="str">
        <x:v>対象テーブル／元データの事前状態をDB照会で記録</x:v>
      </x:c>
      <x:c r="D23" s="88" t="str">
        <x:v>関連するテスト投入行をリセットし次ケースへの干渉を防止</x:v>
      </x:c>
    </x:row>
    <x:row r="24" ht="56" customHeight="1">
      <x:c r="A24" s="79" t="str">
        <x:v>TD-21</x:v>
      </x:c>
      <x:c r="B24" s="79" t="str">
        <x:v>対象条件を満たす供給地点の管理行・有効建物マスタを2001件準備。</x:v>
      </x:c>
      <x:c r="C24" s="79" t="str">
        <x:v>対象テーブル／元データの事前状態をDB照会で記録</x:v>
      </x:c>
      <x:c r="D24" s="79" t="str">
        <x:v>関連するテスト投入行をリセットし次ケースへの干渉を防止</x:v>
      </x:c>
    </x:row>
    <x:row r="25" ht="56" customHeight="1">
      <x:c r="A25" s="88" t="str">
        <x:v>TD-22</x:v>
      </x:c>
      <x:c r="B25" s="88" t="str">
        <x:v>基準正常データから建物マスタ法人番号に対応する企業基本情報マスタを欠落。</x:v>
      </x:c>
      <x:c r="C25" s="88" t="str">
        <x:v>対象テーブル／元データの事前状態をDB照会で記録</x:v>
      </x:c>
      <x:c r="D25" s="88" t="str">
        <x:v>関連するテスト投入行をリセットし次ケースへの干渉を防止</x:v>
      </x:c>
    </x:row>
    <x:row r="26" ht="56" customHeight="1">
      <x:c r="A26" s="79" t="str">
        <x:v>TD-23</x:v>
      </x:c>
      <x:c r="B26" s="79" t="str">
        <x:v>基準正常で同じ法人番号の企業名を1回目と2回目で変更。更新前後を保存。</x:v>
      </x:c>
      <x:c r="C26" s="79" t="str">
        <x:v>対象テーブル／元データの事前状態をDB照会で記録</x:v>
      </x:c>
      <x:c r="D26" s="79" t="str">
        <x:v>関連するテスト投入行をリセットし次ケースへの干渉を防止</x:v>
      </x:c>
    </x:row>
    <x:row r="27" ht="56" customHeight="1">
      <x:c r="A27" s="88" t="str">
        <x:v>TD-24</x:v>
      </x:c>
      <x:c r="B27" s="88" t="str">
        <x:v>対象地点と異なる供給地点特定番号のEPデータのみを準備。</x:v>
      </x:c>
      <x:c r="C27" s="88" t="str">
        <x:v>対象テーブル／元データの事前状態をDB照会で記録</x:v>
      </x:c>
      <x:c r="D27" s="88" t="str">
        <x:v>関連するテスト投入行をリセットし次ケースへの干渉を防止</x:v>
      </x:c>
    </x:row>
    <x:row r="28" ht="56" customHeight="1">
      <x:c r="A28" s="79" t="str">
        <x:v>TD-25</x:v>
      </x:c>
      <x:c r="B28" s="79" t="str">
        <x:v>対象月の月初日のEPデータを準備（例:2026/07/01）。</x:v>
      </x:c>
      <x:c r="C28" s="79" t="str">
        <x:v>対象テーブル／元データの事前状態をDB照会で記録</x:v>
      </x:c>
      <x:c r="D28" s="79" t="str">
        <x:v>関連するテスト投入行をリセットし次ケースへの干渉を防止</x:v>
      </x:c>
    </x:row>
    <x:row r="29" ht="56" customHeight="1">
      <x:c r="A29" s="88" t="str">
        <x:v>TD-26</x:v>
      </x:c>
      <x:c r="B29" s="88" t="str">
        <x:v>対象月の月末日のEPデータを準備（例:2026/07/31）。</x:v>
      </x:c>
      <x:c r="C29" s="88" t="str">
        <x:v>対象テーブル／元データの事前状態をDB照会で記録</x:v>
      </x:c>
      <x:c r="D29" s="88" t="str">
        <x:v>関連するテスト投入行をリセットし次ケースへの干渉を防止</x:v>
      </x:c>
    </x:row>
    <x:row r="30" ht="56" customHeight="1">
      <x:c r="A30" s="79" t="str">
        <x:v>TD-27</x:v>
      </x:c>
      <x:c r="B30" s="79" t="str">
        <x:v>対象月の前月末のEPデータを準備（例:2026/06/30）。</x:v>
      </x:c>
      <x:c r="C30" s="79" t="str">
        <x:v>対象テーブル／元データの事前状態をDB照会で記録</x:v>
      </x:c>
      <x:c r="D30" s="79" t="str">
        <x:v>関連するテスト投入行をリセットし次ケースへの干渉を防止</x:v>
      </x:c>
    </x:row>
    <x:row r="31" ht="56" customHeight="1">
      <x:c r="A31" s="88" t="str">
        <x:v>TD-28</x:v>
      </x:c>
      <x:c r="B31" s="88" t="str">
        <x:v>対象月の翌月初のEPデータを準備（例:2026/08/01）。</x:v>
      </x:c>
      <x:c r="C31" s="88" t="str">
        <x:v>対象テーブル／元データの事前状態をDB照会で記録</x:v>
      </x:c>
      <x:c r="D31" s="88" t="str">
        <x:v>関連するテスト投入行をリセットし次ケースへの干渉を防止</x:v>
      </x:c>
    </x:row>
    <x:row r="32" ht="56" customHeight="1">
      <x:c r="A32" s="79" t="str">
        <x:v>TD-29</x:v>
      </x:c>
      <x:c r="B32" s="79" t="str">
        <x:v>同一地点に対象月の異なる3日分（例:1・15・31日）のEPデータを準備。</x:v>
      </x:c>
      <x:c r="C32" s="79" t="str">
        <x:v>対象テーブル／元データの事前状態をDB照会で記録</x:v>
      </x:c>
      <x:c r="D32" s="79" t="str">
        <x:v>関連するテスト投入行をリセットし次ケースへの干渉を防止</x:v>
      </x:c>
    </x:row>
    <x:row r="33" ht="56" customHeight="1">
      <x:c r="A33" s="88" t="str">
        <x:v>TD-30</x:v>
      </x:c>
      <x:c r="B33" s="88" t="str">
        <x:v>管理行と建物マスタは正常。対象の供給地点／対象年月に合うEP30分値は0件。</x:v>
      </x:c>
      <x:c r="C33" s="88" t="str">
        <x:v>対象テーブル／元データの事前状態をDB照会で記録</x:v>
      </x:c>
      <x:c r="D33" s="88" t="str">
        <x:v>関連するテスト投入行をリセットし次ケースへの干渉を防止</x:v>
      </x:c>
    </x:row>
    <x:row r="34" ht="56" customHeight="1">
      <x:c r="A34" s="79" t="str">
        <x:v>TD-31</x:v>
      </x:c>
      <x:c r="B34" s="79" t="str">
        <x:v>管理行・建物・企業・EPは正常。一致するARVEお客さま情報は0件。</x:v>
      </x:c>
      <x:c r="C34" s="79" t="str">
        <x:v>対象テーブル／元データの事前状態をDB照会で記録</x:v>
      </x:c>
      <x:c r="D34" s="79" t="str">
        <x:v>関連するテスト投入行をリセットし次ケースへの干渉を防止</x:v>
      </x:c>
    </x:row>
    <x:row r="35" ht="56" customHeight="1">
      <x:c r="A35" s="88" t="str">
        <x:v>TD-32</x:v>
      </x:c>
      <x:c r="B35" s="88" t="str">
        <x:v>ARVE契約場所_名義(姓)='山田'、契約場所_名義(名)='太郎'など、連結結果を確認できる値。</x:v>
      </x:c>
      <x:c r="C35" s="88" t="str">
        <x:v>対象テーブル／元データの事前状態をDB照会で記録</x:v>
      </x:c>
      <x:c r="D35" s="88" t="str">
        <x:v>関連するテスト投入行をリセットし次ケースへの干渉を防止</x:v>
      </x:c>
    </x:row>
    <x:row r="36" ht="56" customHeight="1">
      <x:c r="A36" s="79" t="str">
        <x:v>TD-33</x:v>
      </x:c>
      <x:c r="B36" s="79" t="str">
        <x:v>ARVE契約場所名義の姓・名を片方ずつNULL／空文字にしたデータ（制約許容範囲）。</x:v>
      </x:c>
      <x:c r="C36" s="79" t="str">
        <x:v>対象テーブル／元データの事前状態をDB照会で記録</x:v>
      </x:c>
      <x:c r="D36" s="79" t="str">
        <x:v>関連するテスト投入行をリセットし次ケースへの干渉を防止</x:v>
      </x:c>
    </x:row>
    <x:row r="37" ht="56" customHeight="1">
      <x:c r="A37" s="88" t="str">
        <x:v>TD-34</x:v>
      </x:c>
      <x:c r="B37" s="88" t="str">
        <x:v>ARVEのEPお客さま番号='ABC123456'。</x:v>
      </x:c>
      <x:c r="C37" s="88" t="str">
        <x:v>対象テーブル／元データの事前状態をDB照会で記録</x:v>
      </x:c>
      <x:c r="D37" s="88" t="str">
        <x:v>関連するテスト投入行をリセットし次ケースへの干渉を防止</x:v>
      </x:c>
    </x:row>
    <x:row r="38" ht="56" customHeight="1">
      <x:c r="A38" s="79" t="str">
        <x:v>TD-35</x:v>
      </x:c>
      <x:c r="B38" s="79" t="str">
        <x:v>ARVEのEPお客さま番号='ABC'。</x:v>
      </x:c>
      <x:c r="C38" s="79" t="str">
        <x:v>対象テーブル／元データの事前状態をDB照会で記録</x:v>
      </x:c>
      <x:c r="D38" s="79" t="str">
        <x:v>関連するテスト投入行をリセットし次ケースへの干渉を防止</x:v>
      </x:c>
    </x:row>
    <x:row r="39" ht="56" customHeight="1">
      <x:c r="A39" s="88" t="str">
        <x:v>TD-36</x:v>
      </x:c>
      <x:c r="B39" s="88" t="str">
        <x:v>ARVEのEPお客さま番号='AB'（桁数制約が許す場合）。</x:v>
      </x:c>
      <x:c r="C39" s="88" t="str">
        <x:v>対象テーブル／元データの事前状態をDB照会で記録</x:v>
      </x:c>
      <x:c r="D39" s="88" t="str">
        <x:v>関連するテスト投入行をリセットし次ケースへの干渉を防止</x:v>
      </x:c>
    </x:row>
    <x:row r="40" ht="56" customHeight="1">
      <x:c r="A40" s="79" t="str">
        <x:v>TD-37</x:v>
      </x:c>
      <x:c r="B40" s="79" t="str">
        <x:v>EP30分値の欠測時間帯_件数='12'（文字列、INTEGER変換元）。</x:v>
      </x:c>
      <x:c r="C40" s="79" t="str">
        <x:v>対象テーブル／元データの事前状態をDB照会で記録</x:v>
      </x:c>
      <x:c r="D40" s="79" t="str">
        <x:v>関連するテスト投入行をリセットし次ケースへの干渉を防止</x:v>
      </x:c>
    </x:row>
    <x:row r="41" ht="56" customHeight="1">
      <x:c r="A41" s="88" t="str">
        <x:v>TD-38</x:v>
      </x:c>
      <x:c r="B41" s="88" t="str">
        <x:v>EP30分値の不正値時間帯_件数='0'（文字列、INTEGER変換元）。</x:v>
      </x:c>
      <x:c r="C41" s="88" t="str">
        <x:v>対象テーブル／元データの事前状態をDB照会で記録</x:v>
      </x:c>
      <x:c r="D41" s="88" t="str">
        <x:v>関連するテスト投入行をリセットし次ケースへの干渉を防止</x:v>
      </x:c>
    </x:row>
    <x:row r="42" ht="56" customHeight="1">
      <x:c r="A42" s="79" t="str">
        <x:v>TD-39</x:v>
      </x:c>
      <x:c r="B42" s="79" t="str">
        <x:v>EP30分値の欠測／不正値件数をNULLに設定（列制約許容範囲）。</x:v>
      </x:c>
      <x:c r="C42" s="79" t="str">
        <x:v>対象テーブル／元データの事前状態をDB照会で記録</x:v>
      </x:c>
      <x:c r="D42" s="79" t="str">
        <x:v>関連するテスト投入行をリセットし次ケースへの干渉を防止</x:v>
      </x:c>
    </x:row>
    <x:row r="43" ht="56" customHeight="1">
      <x:c r="A43" s="88" t="str">
        <x:v>TD-40</x:v>
      </x:c>
      <x:c r="B43" s="88" t="str">
        <x:v>EP30分値の欠測時間帯_件数='abc'。INTEGER CASTで例外となるテスト値。</x:v>
      </x:c>
      <x:c r="C43" s="88" t="str">
        <x:v>対象テーブル／元データの事前状態をDB照会で記録</x:v>
      </x:c>
      <x:c r="D43" s="88" t="str">
        <x:v>関連するテスト投入行をリセットし次ケースへの干渉を防止</x:v>
      </x:c>
    </x:row>
    <x:row r="44" ht="56" customHeight="1">
      <x:c r="A44" s="79" t="str">
        <x:v>TD-41</x:v>
      </x:c>
      <x:c r="B44" s="79" t="str">
        <x:v>EP30分値の欠測時間帯_件数='-1'。</x:v>
      </x:c>
      <x:c r="C44" s="79" t="str">
        <x:v>対象テーブル／元データの事前状態をDB照会で記録</x:v>
      </x:c>
      <x:c r="D44" s="79" t="str">
        <x:v>関連するテスト投入行をリセットし次ケースへの干渉を防止</x:v>
      </x:c>
    </x:row>
    <x:row r="45" ht="56" customHeight="1">
      <x:c r="A45" s="88" t="str">
        <x:v>TD-42</x:v>
      </x:c>
      <x:c r="B45" s="88" t="str">
        <x:v>対象日EPデータのV30分_使用_電力量_1～48に、すべて異なる小数値を設定。</x:v>
      </x:c>
      <x:c r="C45" s="88" t="str">
        <x:v>対象テーブル／元データの事前状態をDB照会で記録</x:v>
      </x:c>
      <x:c r="D45" s="88" t="str">
        <x:v>関連するテスト投入行をリセットし次ケースへの干渉を防止</x:v>
      </x:c>
    </x:row>
    <x:row r="46" ht="56" customHeight="1">
      <x:c r="A46" s="79" t="str">
        <x:v>TD-43</x:v>
      </x:c>
      <x:c r="B46" s="79" t="str">
        <x:v>48コマ中の1・24・25・48番に他と異なる識別数値を設定。</x:v>
      </x:c>
      <x:c r="C46" s="79" t="str">
        <x:v>対象テーブル／元データの事前状態をDB照会で記録</x:v>
      </x:c>
      <x:c r="D46" s="79" t="str">
        <x:v>関連するテスト投入行をリセットし次ケースへの干渉を防止</x:v>
      </x:c>
    </x:row>
    <x:row r="47" ht="56" customHeight="1">
      <x:c r="A47" s="88" t="str">
        <x:v>TD-44</x:v>
      </x:c>
      <x:c r="B47" s="88" t="str">
        <x:v>48コマの1列に小数値（例:1.2345）を設定。保存列の精度も確認。</x:v>
      </x:c>
      <x:c r="C47" s="88" t="str">
        <x:v>対象テーブル／元データの事前状態をDB照会で記録</x:v>
      </x:c>
      <x:c r="D47" s="88" t="str">
        <x:v>関連するテスト投入行をリセットし次ケースへの干渉を防止</x:v>
      </x:c>
    </x:row>
    <x:row r="48" ht="56" customHeight="1">
      <x:c r="A48" s="79" t="str">
        <x:v>TD-45</x:v>
      </x:c>
      <x:c r="B48" s="79" t="str">
        <x:v>48コマの1列に数値0を設定。</x:v>
      </x:c>
      <x:c r="C48" s="79" t="str">
        <x:v>対象テーブル／元データの事前状態をDB照会で記録</x:v>
      </x:c>
      <x:c r="D48" s="79" t="str">
        <x:v>関連するテスト投入行をリセットし次ケースへの干渉を防止</x:v>
      </x:c>
    </x:row>
    <x:row r="49" ht="56" customHeight="1">
      <x:c r="A49" s="88" t="str">
        <x:v>TD-46</x:v>
      </x:c>
      <x:c r="B49" s="88" t="str">
        <x:v>48コマの2列をそれぞれNULL・空文字にする（元列制約許容時）。</x:v>
      </x:c>
      <x:c r="C49" s="88" t="str">
        <x:v>対象テーブル／元データの事前状態をDB照会で記録</x:v>
      </x:c>
      <x:c r="D49" s="88" t="str">
        <x:v>関連するテスト投入行をリセットし次ケースへの干渉を防止</x:v>
      </x:c>
    </x:row>
    <x:row r="50" ht="56" customHeight="1">
      <x:c r="A50" s="79" t="str">
        <x:v>TD-47</x:v>
      </x:c>
      <x:c r="B50" s="79" t="str">
        <x:v>48コマの1列に負数（例:-0.12）を設定。</x:v>
      </x:c>
      <x:c r="C50" s="79" t="str">
        <x:v>対象テーブル／元データの事前状態をDB照会で記録</x:v>
      </x:c>
      <x:c r="D50" s="79" t="str">
        <x:v>関連するテスト投入行をリセットし次ケースへの干渉を防止</x:v>
      </x:c>
    </x:row>
    <x:row r="51" ht="56" customHeight="1">
      <x:c r="A51" s="88" t="str">
        <x:v>TD-48</x:v>
      </x:c>
      <x:c r="B51" s="88" t="str">
        <x:v>48コマの1列に非数値文字列='xyz'を設定。</x:v>
      </x:c>
      <x:c r="C51" s="88" t="str">
        <x:v>対象テーブル／元データの事前状態をDB照会で記録</x:v>
      </x:c>
      <x:c r="D51" s="88" t="str">
        <x:v>関連するテスト投入行をリセットし次ケースへの干渉を防止</x:v>
      </x:c>
    </x:row>
    <x:row r="52" ht="56" customHeight="1">
      <x:c r="A52" s="79" t="str">
        <x:v>TD-49</x:v>
      </x:c>
      <x:c r="B52" s="79" t="str">
        <x:v>実行日時を固定可能なテスト環境（例:2026/10/18 12:34:56）およびバッチ実行者='unit-test-batch'。</x:v>
      </x:c>
      <x:c r="C52" s="79" t="str">
        <x:v>対象テーブル／元データの事前状態をDB照会で記録</x:v>
      </x:c>
      <x:c r="D52" s="79" t="str">
        <x:v>関連するテスト投入行をリセットし次ケースへの干渉を防止</x:v>
      </x:c>
    </x:row>
    <x:row r="53" ht="56" customHeight="1">
      <x:c r="A53" s="88" t="str">
        <x:v>TD-50</x:v>
      </x:c>
      <x:c r="B53" s="88" t="str">
        <x:v>既存生データ1行（同じ競合キー）を保存済み。作成者・作成日時に過去値、元EP列は新しい値。</x:v>
      </x:c>
      <x:c r="C53" s="88" t="str">
        <x:v>対象テーブル／元データの事前状態をDB照会で記録</x:v>
      </x:c>
      <x:c r="D53" s="88" t="str">
        <x:v>関連するテスト投入行をリセットし次ケースへの干渉を防止</x:v>
      </x:c>
    </x:row>
    <x:row r="54" ht="56" customHeight="1">
      <x:c r="A54" s="79" t="str">
        <x:v>TD-51</x:v>
      </x:c>
      <x:c r="B54" s="79" t="str">
        <x:v>既存生データの名称・電力量・削除フラグをソースと異なる値に設定して更新。</x:v>
      </x:c>
      <x:c r="C54" s="79" t="str">
        <x:v>対象テーブル／元データの事前状態をDB照会で記録</x:v>
      </x:c>
      <x:c r="D54" s="79" t="str">
        <x:v>関連するテスト投入行をリセットし次ケースへの干渉を防止</x:v>
      </x:c>
    </x:row>
    <x:row r="55" ht="56" customHeight="1">
      <x:c r="A55" s="88" t="str">
        <x:v>TD-52</x:v>
      </x:c>
      <x:c r="B55" s="88" t="str">
        <x:v>処理単位内で生データの既存行1、新規行1が存在。</x:v>
      </x:c>
      <x:c r="C55" s="88" t="str">
        <x:v>対象テーブル／元データの事前状態をDB照会で記録</x:v>
      </x:c>
      <x:c r="D55" s="88" t="str">
        <x:v>関連するテスト投入行をリセットし次ケースへの干渉を防止</x:v>
      </x:c>
    </x:row>
    <x:row r="56" ht="56" customHeight="1">
      <x:c r="A56" s="79" t="str">
        <x:v>TD-53</x:v>
      </x:c>
      <x:c r="B56" s="79" t="str">
        <x:v>複数供給地点（2地点）と各地点の月内複数日分EPデータ。</x:v>
      </x:c>
      <x:c r="C56" s="79" t="str">
        <x:v>対象テーブル／元データの事前状態をDB照会で記録</x:v>
      </x:c>
      <x:c r="D56" s="79" t="str">
        <x:v>関連するテスト投入行をリセットし次ケースへの干渉を防止</x:v>
      </x:c>
    </x:row>
    <x:row r="57" ht="56" customHeight="1">
      <x:c r="A57" s="88" t="str">
        <x:v>TD-54</x:v>
      </x:c>
      <x:c r="B57" s="88" t="str">
        <x:v>対象外供給地点の既存生データを、テスト前後比較用に別途保持。</x:v>
      </x:c>
      <x:c r="C57" s="88" t="str">
        <x:v>対象テーブル／元データの事前状態をDB照会で記録</x:v>
      </x:c>
      <x:c r="D57" s="88" t="str">
        <x:v>関連するテスト投入行をリセットし次ケースへの干渉を防止</x:v>
      </x:c>
    </x:row>
    <x:row r="58" ht="56" customHeight="1">
      <x:c r="A58" s="79" t="str">
        <x:v>TD-55</x:v>
      </x:c>
      <x:c r="B58" s="79" t="str">
        <x:v>同一のUPSERTキーに競合し得るEP元レコード2件（DB一意制約確認の上設定）。</x:v>
      </x:c>
      <x:c r="C58" s="79" t="str">
        <x:v>対象テーブル／元データの事前状態をDB照会で記録</x:v>
      </x:c>
      <x:c r="D58" s="79" t="str">
        <x:v>関連するテスト投入行をリセットし次ケースへの干渉を防止</x:v>
      </x:c>
    </x:row>
    <x:row r="59" ht="56" customHeight="1">
      <x:c r="A59" s="88" t="str">
        <x:v>TD-56</x:v>
      </x:c>
      <x:c r="B59" s="88" t="str">
        <x:v>紐付け日時NULLの管理行に、過去の紐付けエラーメッセージを設定。</x:v>
      </x:c>
      <x:c r="C59" s="88" t="str">
        <x:v>対象テーブル／元データの事前状態をDB照会で記録</x:v>
      </x:c>
      <x:c r="D59" s="88" t="str">
        <x:v>関連するテスト投入行をリセットし次ケースへの干渉を防止</x:v>
      </x:c>
    </x:row>
    <x:row r="60" ht="56" customHeight="1">
      <x:c r="A60" s="79" t="str">
        <x:v>TD-57</x:v>
      </x:c>
      <x:c r="B60" s="79" t="str">
        <x:v>条件一致する管理行2件のうち、処理する供給地点のみを検証対象にして管理更新を単体呼出し。</x:v>
      </x:c>
      <x:c r="C60" s="79" t="str">
        <x:v>対象テーブル／元データの事前状態をDB照会で記録</x:v>
      </x:c>
      <x:c r="D60" s="79" t="str">
        <x:v>関連するテスト投入行をリセットし次ケースへの干渉を防止</x:v>
      </x:c>
    </x:row>
    <x:row r="61" ht="56" customHeight="1">
      <x:c r="A61" s="88" t="str">
        <x:v>TD-58</x:v>
      </x:c>
      <x:c r="B61" s="88" t="str">
        <x:v>INSERT時のDB制約違反／CASTエラーを意図的に発生させるテストデータ。</x:v>
      </x:c>
      <x:c r="C61" s="88" t="str">
        <x:v>対象テーブル／元データの事前状態をDB照会で記録</x:v>
      </x:c>
      <x:c r="D61" s="88" t="str">
        <x:v>関連するテスト投入行をリセットし次ケースへの干渉を防止</x:v>
      </x:c>
    </x:row>
    <x:row r="62" ht="56" customHeight="1">
      <x:c r="A62" s="79" t="str">
        <x:v>TD-59</x:v>
      </x:c>
      <x:c r="B62" s="79" t="str">
        <x:v>既存生データUPDATE時にDB制約違反を発生させるテストデータ。</x:v>
      </x:c>
      <x:c r="C62" s="79" t="str">
        <x:v>対象テーブル／元データの事前状態をDB照会で記録</x:v>
      </x:c>
      <x:c r="D62" s="79" t="str">
        <x:v>関連するテスト投入行をリセットし次ケースへの干渉を防止</x:v>
      </x:c>
    </x:row>
    <x:row r="63" ht="56" customHeight="1">
      <x:c r="A63" s="88" t="str">
        <x:v>TD-60</x:v>
      </x:c>
      <x:c r="B63" s="88" t="str">
        <x:v>成功する対象1件、失敗する対象1件の合計2地点。</x:v>
      </x:c>
      <x:c r="C63" s="88" t="str">
        <x:v>対象テーブル／元データの事前状態をDB照会で記録</x:v>
      </x:c>
      <x:c r="D63" s="88" t="str">
        <x:v>関連するテスト投入行をリセットし次ケースへの干渉を防止</x:v>
      </x:c>
    </x:row>
    <x:row r="64" ht="56" customHeight="1">
      <x:c r="A64" s="79" t="str">
        <x:v>TD-61</x:v>
      </x:c>
      <x:c r="B64" s="79" t="str">
        <x:v>DBの紐付けエラーメッセージ列の最大桁数を超える長文例外を注入。</x:v>
      </x:c>
      <x:c r="C64" s="79" t="str">
        <x:v>対象テーブル／元データの事前状態をDB照会で記録</x:v>
      </x:c>
      <x:c r="D64" s="79" t="str">
        <x:v>関連するテスト投入行をリセットし次ケースへの干渉を防止</x:v>
      </x:c>
    </x:row>
    <x:row r="65" ht="56" customHeight="1">
      <x:c r="A65" s="88" t="str">
        <x:v>TD-62</x:v>
      </x:c>
      <x:c r="B65" s="88" t="str">
        <x:v>UPSERT後の30分値取込管理UPDATEのみDBエラーとなる注入ポイント。</x:v>
      </x:c>
      <x:c r="C65" s="88" t="str">
        <x:v>対象テーブル／元データの事前状態をDB照会で記録</x:v>
      </x:c>
      <x:c r="D65" s="88" t="str">
        <x:v>関連するテスト投入行をリセットし次ケースへの干渉を防止</x:v>
      </x:c>
    </x:row>
    <x:row r="66" ht="56" customHeight="1">
      <x:c r="A66" s="79" t="str">
        <x:v>TD-63</x:v>
      </x:c>
      <x:c r="B66" s="79" t="str">
        <x:v>同一地点の複数EP日付処理中、後続の日付処理のみ例外にする注入ポイント。</x:v>
      </x:c>
      <x:c r="C66" s="79" t="str">
        <x:v>対象テーブル／元データの事前状態をDB照会で記録</x:v>
      </x:c>
      <x:c r="D66" s="79" t="str">
        <x:v>関連するテスト投入行をリセットし次ケースへの干渉を防止</x:v>
      </x:c>
    </x:row>
    <x:row r="67" ht="56" customHeight="1">
      <x:c r="A67" s="88" t="str">
        <x:v>TD-64</x:v>
      </x:c>
      <x:c r="B67" s="88" t="str">
        <x:v>バッチ途中の予期しないExceptionを任意の処理へ注入するスタブ／モック。</x:v>
      </x:c>
      <x:c r="C67" s="88" t="str">
        <x:v>対象テーブル／元データの事前状態をDB照会で記録</x:v>
      </x:c>
      <x:c r="D67" s="88" t="str">
        <x:v>関連するテスト投入行をリセットし次ケースへの干渉を防止</x:v>
      </x:c>
    </x:row>
    <x:row r="68" ht="56" customHeight="1">
      <x:c r="A68" s="79" t="str">
        <x:v>TD-65</x:v>
      </x:c>
      <x:c r="B68" s="79" t="str">
        <x:v>状態3、紐付け日時NULL、紐付けエラーメッセージ設定済みの管理行。</x:v>
      </x:c>
      <x:c r="C68" s="79" t="str">
        <x:v>対象テーブル／元データの事前状態をDB照会で記録</x:v>
      </x:c>
      <x:c r="D68" s="79" t="str">
        <x:v>関連するテスト投入行をリセットし次ケースへの干渉を防止</x:v>
      </x:c>
    </x:row>
    <x:row r="69" ht="56" customHeight="1">
      <x:c r="A69" s="88" t="str">
        <x:v>TD-66</x:v>
      </x:c>
      <x:c r="B69" s="88" t="str">
        <x:v>対象年月一致の管理行と対象年月不一致の管理行を各複数件。</x:v>
      </x:c>
      <x:c r="C69" s="88" t="str">
        <x:v>対象テーブル／元データの事前状態をDB照会で記録</x:v>
      </x:c>
      <x:c r="D69" s="88" t="str">
        <x:v>関連するテスト投入行をリセットし次ケースへの干渉を防止</x:v>
      </x:c>
    </x:row>
    <x:row r="70" ht="56" customHeight="1">
      <x:c r="A70" s="79" t="str">
        <x:v>TD-67</x:v>
      </x:c>
      <x:c r="B70" s="79" t="str">
        <x:v>正常な3地点の管理行・マスタ・EPデータ。ログとDB件数を照合。</x:v>
      </x:c>
      <x:c r="C70" s="79" t="str">
        <x:v>対象テーブル／元データの事前状態をDB照会で記録</x:v>
      </x:c>
      <x:c r="D70" s="79" t="str">
        <x:v>関連するテスト投入行をリセットし次ケースへの干渉を防止</x:v>
      </x:c>
    </x:row>
    <x:row r="71" ht="56" customHeight="1">
      <x:c r="A71" s="88" t="str">
        <x:v>TD-68</x:v>
      </x:c>
      <x:c r="B71" s="88" t="str">
        <x:v>生データの新規2行・既存2行となるよう元データを準備。</x:v>
      </x:c>
      <x:c r="C71" s="88" t="str">
        <x:v>対象テーブル／元データの事前状態をDB照会で記録</x:v>
      </x:c>
      <x:c r="D71" s="88" t="str">
        <x:v>関連するテスト投入行をリセットし次ケースへの干渉を防止</x:v>
      </x:c>
    </x:row>
    <x:row r="72" ht="56" customHeight="1">
      <x:c r="A72" s="79" t="str">
        <x:v>TD-69</x:v>
      </x:c>
      <x:c r="B72" s="79" t="str">
        <x:v>単一の供給地点につき対象月内31日分（31日月を選択）のEPデータ。</x:v>
      </x:c>
      <x:c r="C72" s="79" t="str">
        <x:v>対象テーブル／元データの事前状態をDB照会で記録</x:v>
      </x:c>
      <x:c r="D72" s="79" t="str">
        <x:v>関連するテスト投入行をリセットし次ケースへの干渉を防止</x:v>
      </x:c>
    </x:row>
    <x:row r="73" ht="56" customHeight="1">
      <x:c r="A73" s="88" t="str">
        <x:v>TD-70</x:v>
      </x:c>
      <x:c r="B73" s="88" t="str">
        <x:v>対象月外のEPデータ複数件と、対象月内のEPデータ1件。</x:v>
      </x:c>
      <x:c r="C73" s="88" t="str">
        <x:v>対象テーブル／元データの事前状態をDB照会で記録</x:v>
      </x:c>
      <x:c r="D73" s="88" t="str">
        <x:v>関連するテスト投入行をリセットし次ケースへの干渉を防止</x:v>
      </x:c>
    </x:row>
    <x:row r="74" ht="56" customHeight="1">
      <x:c r="A74" s="79" t="str">
        <x:v>TD-71</x:v>
      </x:c>
      <x:c r="B74" s="79" t="str">
        <x:v>WARNING発生条件を再現するスタブ／モック（発生条件は別途確定）。</x:v>
      </x:c>
      <x:c r="C74" s="79" t="str">
        <x:v>対象テーブル／元データの事前状態をDB照会で記録</x:v>
      </x:c>
      <x:c r="D74" s="79" t="str">
        <x:v>関連するテスト投入行をリセットし次ケースへの干渉を防止</x:v>
      </x:c>
    </x:row>
    <x:row r="75" ht="56" customHeight="1">
      <x:c r="A75" s="88" t="str">
        <x:v>TD-72</x:v>
      </x:c>
      <x:c r="B75" s="88" t="str">
        <x:v>正常対象・異常対象・対象外の供給地点をそれぞれ独立に準備。</x:v>
      </x:c>
      <x:c r="C75" s="88" t="str">
        <x:v>対象テーブル／元データの事前状態をDB照会で記録</x:v>
      </x:c>
      <x:c r="D75" s="88" t="str">
        <x:v>関連するテスト投入行をリセットし次ケースへの干渉を防止</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 hidden="0" customWidth="1"/>
    <x:col min="2" max="2" width="34" hidden="0" customWidth="1"/>
    <x:col min="3" max="3" width="46" hidden="0" customWidth="1"/>
    <x:col min="4" max="4" width="35" hidden="0" customWidth="1"/>
    <x:col min="5" max="5" width="59" hidden="0" customWidth="1"/>
    <x:col min="6" max="6" width="17" hidden="0" customWidth="1"/>
  </x:cols>
  <x:sheetData>
    <x:row r="1" ht="36" customHeight="1">
      <x:c r="A1" s="86" t="str">
        <x:v>生データ登録　項目マッピング確認表（仕様 No.4）</x:v>
      </x:c>
      <x:c r="B1" s="86"/>
      <x:c r="C1" s="86"/>
      <x:c r="D1" s="86"/>
      <x:c r="E1" s="86"/>
      <x:c r="F1" s="86"/>
    </x:row>
    <x:row r="2" ht="27" customHeight="1">
      <x:c r="A2" s="2" t="str">
        <x:v>登録対象69項目。使用電力量48列（No.13～60）は同パターンのため1行にまとめています。</x:v>
      </x:c>
      <x:c r="B2" s="2"/>
      <x:c r="C2" s="2"/>
      <x:c r="D2" s="2"/>
      <x:c r="E2" s="2"/>
      <x:c r="F2" s="2"/>
    </x:row>
    <x:row r="3" ht="30" customHeight="1">
      <x:c r="A3" s="75" t="str">
        <x:v>No</x:v>
      </x:c>
      <x:c r="B3" s="75" t="str">
        <x:v>登録先項目（30分値の生データ情報）</x:v>
      </x:c>
      <x:c r="C3" s="75" t="str">
        <x:v>取得元テーブル／値</x:v>
      </x:c>
      <x:c r="D3" s="75" t="str">
        <x:v>取得元項目</x:v>
      </x:c>
      <x:c r="E3" s="75" t="str">
        <x:v>変換・結合／更新ルール</x:v>
      </x:c>
      <x:c r="F3" s="75" t="str">
        <x:v>出典画像</x:v>
      </x:c>
    </x:row>
    <x:row r="4" ht="55" customHeight="1">
      <x:c r="A4" s="79" t="str">
        <x:v>1</x:v>
      </x:c>
      <x:c r="B4" s="79" t="str">
        <x:v>法人番号</x:v>
      </x:c>
      <x:c r="C4" s="79" t="str">
        <x:v>建物マスタ</x:v>
      </x:c>
      <x:c r="D4" s="79" t="str">
        <x:v>法人番号</x:v>
      </x:c>
      <x:c r="E4" s="79" t="str">
        <x:v>そのまま設定</x:v>
      </x:c>
      <x:c r="F4" s="79" t="str">
        <x:v>IMG_1171</x:v>
      </x:c>
    </x:row>
    <x:row r="5" ht="55" customHeight="1">
      <x:c r="A5" s="88" t="str">
        <x:v>2</x:v>
      </x:c>
      <x:c r="B5" s="88" t="str">
        <x:v>同意書取得区分</x:v>
      </x:c>
      <x:c r="C5" s="88" t="str">
        <x:v>建物マスタ</x:v>
      </x:c>
      <x:c r="D5" s="88" t="str">
        <x:v>同意書取得区分</x:v>
      </x:c>
      <x:c r="E5" s="88" t="str">
        <x:v>そのまま設定</x:v>
      </x:c>
      <x:c r="F5" s="88" t="str">
        <x:v>IMG_1171</x:v>
      </x:c>
    </x:row>
    <x:row r="6" ht="55" customHeight="1">
      <x:c r="A6" s="79" t="str">
        <x:v>3</x:v>
      </x:c>
      <x:c r="B6" s="79" t="str">
        <x:v>組織ID</x:v>
      </x:c>
      <x:c r="C6" s="79" t="str">
        <x:v>建物マスタ</x:v>
      </x:c>
      <x:c r="D6" s="79" t="str">
        <x:v>組織ID</x:v>
      </x:c>
      <x:c r="E6" s="79" t="str">
        <x:v>そのまま設定</x:v>
      </x:c>
      <x:c r="F6" s="79" t="str">
        <x:v>IMG_1171</x:v>
      </x:c>
    </x:row>
    <x:row r="7" ht="55" customHeight="1">
      <x:c r="A7" s="88" t="str">
        <x:v>4</x:v>
      </x:c>
      <x:c r="B7" s="88" t="str">
        <x:v>拠点ID</x:v>
      </x:c>
      <x:c r="C7" s="88" t="str">
        <x:v>建物マスタ</x:v>
      </x:c>
      <x:c r="D7" s="88" t="str">
        <x:v>拠点ID</x:v>
      </x:c>
      <x:c r="E7" s="88" t="str">
        <x:v>そのまま設定</x:v>
      </x:c>
      <x:c r="F7" s="88" t="str">
        <x:v>IMG_1171</x:v>
      </x:c>
    </x:row>
    <x:row r="8" ht="55" customHeight="1">
      <x:c r="A8" s="79" t="str">
        <x:v>5</x:v>
      </x:c>
      <x:c r="B8" s="79" t="str">
        <x:v>お客さま名</x:v>
      </x:c>
      <x:c r="C8" s="79" t="str">
        <x:v>企業基本情報マスタ</x:v>
      </x:c>
      <x:c r="D8" s="79" t="str">
        <x:v>企業名</x:v>
      </x:c>
      <x:c r="E8" s="79" t="str">
        <x:v>法人番号で対応付け</x:v>
      </x:c>
      <x:c r="F8" s="79" t="str">
        <x:v>IMG_1171</x:v>
      </x:c>
    </x:row>
    <x:row r="9" ht="55" customHeight="1">
      <x:c r="A9" s="88" t="str">
        <x:v>6</x:v>
      </x:c>
      <x:c r="B9" s="88" t="str">
        <x:v>建物名</x:v>
      </x:c>
      <x:c r="C9" s="88" t="str">
        <x:v>建物マスタ</x:v>
      </x:c>
      <x:c r="D9" s="88" t="str">
        <x:v>拠点識別名</x:v>
      </x:c>
      <x:c r="E9" s="88" t="str">
        <x:v>そのまま設定</x:v>
      </x:c>
      <x:c r="F9" s="88" t="str">
        <x:v>IMG_1171</x:v>
      </x:c>
    </x:row>
    <x:row r="10" ht="55" customHeight="1">
      <x:c r="A10" s="79" t="str">
        <x:v>7</x:v>
      </x:c>
      <x:c r="B10" s="79" t="str">
        <x:v>EPお客さま番号</x:v>
      </x:c>
      <x:c r="C10" s="79" t="str">
        <x:v>建物マスタ</x:v>
      </x:c>
      <x:c r="D10" s="79" t="str">
        <x:v>EPお客さま番号</x:v>
      </x:c>
      <x:c r="E10" s="79" t="str">
        <x:v>そのまま設定</x:v>
      </x:c>
      <x:c r="F10" s="79" t="str">
        <x:v>IMG_1171</x:v>
      </x:c>
    </x:row>
    <x:row r="11" ht="55" customHeight="1">
      <x:c r="A11" s="88" t="str">
        <x:v>8</x:v>
      </x:c>
      <x:c r="B11" s="88" t="str">
        <x:v>供給地点特定番号</x:v>
      </x:c>
      <x:c r="C11" s="88" t="str">
        <x:v>EPデータ参照基盤データ30分値</x:v>
      </x:c>
      <x:c r="D11" s="88" t="str">
        <x:v>供給地点特定番号</x:v>
      </x:c>
      <x:c r="E11" s="88" t="str">
        <x:v>管理テーブル供給地点特定番号で結合</x:v>
      </x:c>
      <x:c r="F11" s="88" t="str">
        <x:v>IMG_1171</x:v>
      </x:c>
    </x:row>
    <x:row r="12" ht="55" customHeight="1">
      <x:c r="A12" s="79" t="str">
        <x:v>9</x:v>
      </x:c>
      <x:c r="B12" s="79" t="str">
        <x:v>企業ID</x:v>
      </x:c>
      <x:c r="C12" s="79" t="str">
        <x:v>ARVEお客さま情報</x:v>
      </x:c>
      <x:c r="D12" s="79" t="str">
        <x:v>企業ID</x:v>
      </x:c>
      <x:c r="E12" s="79" t="str">
        <x:v>供給地点特定番号で結合</x:v>
      </x:c>
      <x:c r="F12" s="79" t="str">
        <x:v>IMG_1171</x:v>
      </x:c>
    </x:row>
    <x:row r="13" ht="55" customHeight="1">
      <x:c r="A13" s="88" t="str">
        <x:v>10</x:v>
      </x:c>
      <x:c r="B13" s="88" t="str">
        <x:v>欠測時間帯_件数</x:v>
      </x:c>
      <x:c r="C13" s="88" t="str">
        <x:v>EPデータ参照基盤データ30分値</x:v>
      </x:c>
      <x:c r="D13" s="88" t="str">
        <x:v>欠測時間帯_件数</x:v>
      </x:c>
      <x:c r="E13" s="88" t="str">
        <x:v>CAST(… AS INTEGER)</x:v>
      </x:c>
      <x:c r="F13" s="88" t="str">
        <x:v>IMG_1171</x:v>
      </x:c>
    </x:row>
    <x:row r="14" ht="55" customHeight="1">
      <x:c r="A14" s="79" t="str">
        <x:v>11</x:v>
      </x:c>
      <x:c r="B14" s="79" t="str">
        <x:v>不正値時間帯_件数</x:v>
      </x:c>
      <x:c r="C14" s="79" t="str">
        <x:v>EPデータ参照基盤データ30分値</x:v>
      </x:c>
      <x:c r="D14" s="79" t="str">
        <x:v>不正値時間帯_件数</x:v>
      </x:c>
      <x:c r="E14" s="79" t="str">
        <x:v>CAST(… AS INTEGER)</x:v>
      </x:c>
      <x:c r="F14" s="79" t="str">
        <x:v>IMG_1171</x:v>
      </x:c>
    </x:row>
    <x:row r="15" ht="55" customHeight="1">
      <x:c r="A15" s="88" t="str">
        <x:v>12</x:v>
      </x:c>
      <x:c r="B15" s="88" t="str">
        <x:v>取得_年月日</x:v>
      </x:c>
      <x:c r="C15" s="88" t="str">
        <x:v>EPデータ参照基盤データ30分値</x:v>
      </x:c>
      <x:c r="D15" s="88" t="str">
        <x:v>取得_年月日</x:v>
      </x:c>
      <x:c r="E15" s="88" t="str">
        <x:v>対象年月の月初～月末</x:v>
      </x:c>
      <x:c r="F15" s="88" t="str">
        <x:v>IMG_1171</x:v>
      </x:c>
    </x:row>
    <x:row r="16" ht="55" customHeight="1">
      <x:c r="A16" s="79" t="str">
        <x:v>13〜60</x:v>
      </x:c>
      <x:c r="B16" s="79" t="str">
        <x:v>V30分_使用_電力量_1〜48</x:v>
      </x:c>
      <x:c r="C16" s="79" t="str">
        <x:v>EPデータ参照基盤データ30分値</x:v>
      </x:c>
      <x:c r="D16" s="79" t="str">
        <x:v>V30分_使用_電力量_1〜48</x:v>
      </x:c>
      <x:c r="E16" s="79" t="str">
        <x:v>各列にCAST(… AS NUMERIC)。番号を維持</x:v>
      </x:c>
      <x:c r="F16" s="79" t="str">
        <x:v>IMG_1171／IMG_1172</x:v>
      </x:c>
    </x:row>
    <x:row r="17" ht="55" customHeight="1">
      <x:c r="A17" s="88" t="str">
        <x:v>61</x:v>
      </x:c>
      <x:c r="B17" s="88" t="str">
        <x:v>削除フラグ</x:v>
      </x:c>
      <x:c r="C17" s="88" t="str">
        <x:v>固定値</x:v>
      </x:c>
      <x:c r="D17" s="88" t="str">
        <x:v>FALSE</x:v>
      </x:c>
      <x:c r="E17" s="88" t="str">
        <x:v>INSERT時FALSE（更新時はSQLを確認）</x:v>
      </x:c>
      <x:c r="F17" s="88" t="str">
        <x:v>IMG_1172</x:v>
      </x:c>
    </x:row>
    <x:row r="18" ht="55" customHeight="1">
      <x:c r="A18" s="79" t="str">
        <x:v>62</x:v>
      </x:c>
      <x:c r="B18" s="79" t="str">
        <x:v>作成者</x:v>
      </x:c>
      <x:c r="C18" s="79" t="str">
        <x:v>バッチ実行環境</x:v>
      </x:c>
      <x:c r="D18" s="79" t="str">
        <x:v>プログラム実行者</x:v>
      </x:c>
      <x:c r="E18" s="79" t="str">
        <x:v>新規時設定、UPDATE時保持</x:v>
      </x:c>
      <x:c r="F18" s="79" t="str">
        <x:v>IMG_1172</x:v>
      </x:c>
    </x:row>
    <x:row r="19" ht="55" customHeight="1">
      <x:c r="A19" s="88" t="str">
        <x:v>63</x:v>
      </x:c>
      <x:c r="B19" s="88" t="str">
        <x:v>作成日時</x:v>
      </x:c>
      <x:c r="C19" s="88" t="str">
        <x:v>システム時刻</x:v>
      </x:c>
      <x:c r="D19" s="88" t="str">
        <x:v>現在日時</x:v>
      </x:c>
      <x:c r="E19" s="88" t="str">
        <x:v>新規時設定、UPDATE時保持</x:v>
      </x:c>
      <x:c r="F19" s="88" t="str">
        <x:v>IMG_1172</x:v>
      </x:c>
    </x:row>
    <x:row r="20" ht="55" customHeight="1">
      <x:c r="A20" s="79" t="str">
        <x:v>64</x:v>
      </x:c>
      <x:c r="B20" s="79" t="str">
        <x:v>更新者</x:v>
      </x:c>
      <x:c r="C20" s="79" t="str">
        <x:v>バッチ実行環境</x:v>
      </x:c>
      <x:c r="D20" s="79" t="str">
        <x:v>プログラム実行者</x:v>
      </x:c>
      <x:c r="E20" s="79" t="str">
        <x:v>新規・UPDATE時設定</x:v>
      </x:c>
      <x:c r="F20" s="79" t="str">
        <x:v>IMG_1172</x:v>
      </x:c>
    </x:row>
    <x:row r="21" ht="55" customHeight="1">
      <x:c r="A21" s="88" t="str">
        <x:v>65</x:v>
      </x:c>
      <x:c r="B21" s="88" t="str">
        <x:v>更新日時</x:v>
      </x:c>
      <x:c r="C21" s="88" t="str">
        <x:v>システム時刻</x:v>
      </x:c>
      <x:c r="D21" s="88" t="str">
        <x:v>現在日時</x:v>
      </x:c>
      <x:c r="E21" s="88" t="str">
        <x:v>新規・UPDATE時設定</x:v>
      </x:c>
      <x:c r="F21" s="88" t="str">
        <x:v>IMG_1172</x:v>
      </x:c>
    </x:row>
    <x:row r="22" ht="55" customHeight="1">
      <x:c r="A22" s="79" t="str">
        <x:v>66</x:v>
      </x:c>
      <x:c r="B22" s="79" t="str">
        <x:v>ファイル更新日時</x:v>
      </x:c>
      <x:c r="C22" s="79" t="str">
        <x:v>固定値</x:v>
      </x:c>
      <x:c r="D22" s="79" t="str">
        <x:v>空文字</x:v>
      </x:c>
      <x:c r="E22" s="79" t="str">
        <x:v>格納型を確認</x:v>
      </x:c>
      <x:c r="F22" s="79" t="str">
        <x:v>IMG_1172</x:v>
      </x:c>
    </x:row>
    <x:row r="23" ht="55" customHeight="1">
      <x:c r="A23" s="88" t="str">
        <x:v>67</x:v>
      </x:c>
      <x:c r="B23" s="88" t="str">
        <x:v>ARVE連携お客さま名</x:v>
      </x:c>
      <x:c r="C23" s="88" t="str">
        <x:v>ARVEお客さま情報</x:v>
      </x:c>
      <x:c r="D23" s="88" t="str">
        <x:v>契約場所_名義(姓)+契約場所_名義(名)</x:v>
      </x:c>
      <x:c r="E23" s="88" t="str">
        <x:v>連結（NULL扱いを確認）</x:v>
      </x:c>
      <x:c r="F23" s="88" t="str">
        <x:v>IMG_1172</x:v>
      </x:c>
    </x:row>
    <x:row r="24" ht="55" customHeight="1">
      <x:c r="A24" s="79" t="str">
        <x:v>68</x:v>
      </x:c>
      <x:c r="B24" s="79" t="str">
        <x:v>ARVE連携お客さま番号</x:v>
      </x:c>
      <x:c r="C24" s="79" t="str">
        <x:v>ARVEお客さま情報</x:v>
      </x:c>
      <x:c r="D24" s="79" t="str">
        <x:v>EPお客さま番号</x:v>
      </x:c>
      <x:c r="E24" s="79" t="str">
        <x:v>4文字目以降を取得</x:v>
      </x:c>
      <x:c r="F24" s="79" t="str">
        <x:v>IMG_1172／IMG_1173</x:v>
      </x:c>
    </x:row>
    <x:row r="25" ht="55" customHeight="1">
      <x:c r="A25" s="88" t="str">
        <x:v>69</x:v>
      </x:c>
      <x:c r="B25" s="88" t="str">
        <x:v>ARVE連携事業所コード</x:v>
      </x:c>
      <x:c r="C25" s="88" t="str">
        <x:v>ARVEお客さま情報</x:v>
      </x:c>
      <x:c r="D25" s="88" t="str">
        <x:v>EPお客さま番号</x:v>
      </x:c>
      <x:c r="E25" s="88" t="str">
        <x:v>先頭3文字を取得</x:v>
      </x:c>
      <x:c r="F25" s="88" t="str">
        <x:v>IMG_1172／IMG_1173</x:v>
      </x:c>
    </x:row>
  </x:sheetData>
  <x:mergeCells>
    <x:mergeCell ref="A1:F1"/>
    <x:mergeCell ref="A2:F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2" hidden="0" customWidth="1"/>
    <x:col min="2" max="2" width="13" hidden="0" customWidth="1"/>
    <x:col min="3" max="3" width="34" hidden="0" customWidth="1"/>
    <x:col min="4" max="4" width="86" hidden="0" customWidth="1"/>
    <x:col min="5" max="5" width="95" hidden="0" customWidth="1"/>
    <x:col min="6" max="6" width="38" hidden="0" customWidth="1"/>
    <x:col min="7" max="7" width="18" hidden="0" customWidth="1"/>
  </x:cols>
  <x:sheetData>
    <x:row r="1" ht="36" customHeight="1">
      <x:c r="A1" s="86" t="str">
        <x:v>仕様確認事項・実施前レビュー</x:v>
      </x:c>
      <x:c r="B1" s="86"/>
      <x:c r="C1" s="86"/>
      <x:c r="D1" s="86"/>
      <x:c r="E1" s="86"/>
      <x:c r="F1" s="86"/>
      <x:c r="G1" s="86"/>
    </x:row>
    <x:row r="2" ht="27" customHeight="1">
      <x:c r="A2" s="2" t="str">
        <x:v>実装や画像未掲載の項目については、事実を確定しないまま予想結果へ混ぜず、ここで設計レビュー項目として管理します。</x:v>
      </x:c>
      <x:c r="B2" s="2"/>
      <x:c r="C2" s="2"/>
      <x:c r="D2" s="2"/>
      <x:c r="E2" s="2"/>
      <x:c r="F2" s="2"/>
      <x:c r="G2" s="2"/>
    </x:row>
    <x:row r="3" ht="30" customHeight="1">
      <x:c r="A3" s="75" t="str">
        <x:v>確認ID</x:v>
      </x:c>
      <x:c r="B3" s="75" t="str">
        <x:v>優先度</x:v>
      </x:c>
      <x:c r="C3" s="75" t="str">
        <x:v>論点</x:v>
      </x:c>
      <x:c r="D3" s="75" t="str">
        <x:v>画像から読み取れる事項</x:v>
      </x:c>
      <x:c r="E3" s="75" t="str">
        <x:v>確認・決定したい内容</x:v>
      </x:c>
      <x:c r="F3" s="75" t="str">
        <x:v>関連大分類</x:v>
      </x:c>
      <x:c r="G3" s="75" t="str">
        <x:v>確認状況</x:v>
      </x:c>
    </x:row>
    <x:row r="4" ht="87" customHeight="1">
      <x:c r="A4" s="79" t="str">
        <x:v>Q-01</x:v>
      </x:c>
      <x:c r="B4" s="79" t="str">
        <x:v>最優先</x:v>
      </x:c>
      <x:c r="C4" s="79" t="str">
        <x:v>エラー行の再取得</x:v>
      </x:c>
      <x:c r="D4" s="79" t="str">
        <x:v>成功時のみ紐付け日時が設定される。異常時はエラーメッセージ設定のみ。一方SELECTは「状態3／対象年月一致／紐付け日時IS NULL」。</x:v>
      </x:c>
      <x:c r="E4" s="79" t="str">
        <x:v>例外後に同じ行を再度抽出し続ける可能性。実装での除外条件、再試行回数、ループ終了条件を確認。</x:v>
      </x:c>
      <x:c r="F4" s="79" t="str">
        <x:v>異常系・トランザクション</x:v>
      </x:c>
      <x:c r="G4" s="82" t="str">
        <x:v>未確認</x:v>
      </x:c>
    </x:row>
    <x:row r="5" ht="87" customHeight="1">
      <x:c r="A5" s="88" t="str">
        <x:v>Q-02</x:v>
      </x:c>
      <x:c r="B5" s="88" t="str">
        <x:v>高</x:v>
      </x:c>
      <x:c r="C5" s="88" t="str">
        <x:v>トランザクション境界</x:v>
      </x:c>
      <x:c r="D5" s="88" t="str">
        <x:v>フローでは自動登録・管理更新が点線のトランザクション枠内。</x:v>
      </x:c>
      <x:c r="E5" s="88" t="str">
        <x:v>地点単位／ループ単位の開始・COMMIT・ROLLBACK、エラーメッセージ更新の独立性を確認。</x:v>
      </x:c>
      <x:c r="F5" s="88" t="str">
        <x:v>異常系・トランザクション</x:v>
      </x:c>
      <x:c r="G5" s="82" t="str">
        <x:v>未確認</x:v>
      </x:c>
    </x:row>
    <x:row r="6" ht="87" customHeight="1">
      <x:c r="A6" s="79" t="str">
        <x:v>Q-03</x:v>
      </x:c>
      <x:c r="B6" s="79" t="str">
        <x:v>高</x:v>
      </x:c>
      <x:c r="C6" s="79" t="str">
        <x:v>Exception遷移とエラー更新の関係</x:v>
      </x:c>
      <x:c r="D6" s="79" t="str">
        <x:v>フロー注記はException発生時に後続処理をSKIPして終了。一方No.6のエラー更新仕様がある。</x:v>
      </x:c>
      <x:c r="E6" s="79" t="str">
        <x:v>どの例外でNo.6が動くか、次レコード処理継続可否を確認。</x:v>
      </x:c>
      <x:c r="F6" s="79" t="str">
        <x:v>異常系・トランザクション</x:v>
      </x:c>
      <x:c r="G6" s="82" t="str">
        <x:v>未確認</x:v>
      </x:c>
    </x:row>
    <x:row r="7" ht="87" customHeight="1">
      <x:c r="A7" s="88" t="str">
        <x:v>Q-04</x:v>
      </x:c>
      <x:c r="B7" s="88" t="str">
        <x:v>高</x:v>
      </x:c>
      <x:c r="C7" s="88" t="str">
        <x:v>UPSERT競合キー</x:v>
      </x:c>
      <x:c r="D7" s="88" t="str">
        <x:v>新規／既存判定はUPSERTと明示。ON CONFLICTのユニークキー全体は画像で判別できない。</x:v>
      </x:c>
      <x:c r="E7" s="88" t="str">
        <x:v>供給地点・取得年月日等の正確な一意キー、同日複数行処理を確認。</x:v>
      </x:c>
      <x:c r="F7" s="88" t="str">
        <x:v>UPSERT登録・更新</x:v>
      </x:c>
      <x:c r="G7" s="82" t="str">
        <x:v>未確認</x:v>
      </x:c>
    </x:row>
    <x:row r="8" ht="87" customHeight="1">
      <x:c r="A8" s="79" t="str">
        <x:v>Q-05</x:v>
      </x:c>
      <x:c r="B8" s="79" t="str">
        <x:v>高</x:v>
      </x:c>
      <x:c r="C8" s="79" t="str">
        <x:v>EP／企業／ARVEのJOIN種別</x:v>
      </x:c>
      <x:c r="D8" s="79" t="str">
        <x:v>キー条件は読み取れるが、一部のINNER/LEFT種別が資料画像から確定しない。</x:v>
      </x:c>
      <x:c r="E8" s="79" t="str">
        <x:v>欠損時の登録除外・NULL設定・エラー処理を決める。</x:v>
      </x:c>
      <x:c r="F8" s="79" t="str">
        <x:v>連携元データ結合</x:v>
      </x:c>
      <x:c r="G8" s="82" t="str">
        <x:v>未確認</x:v>
      </x:c>
    </x:row>
    <x:row r="9" ht="87" customHeight="1">
      <x:c r="A9" s="88" t="str">
        <x:v>Q-06</x:v>
      </x:c>
      <x:c r="B9" s="88" t="str">
        <x:v>中</x:v>
      </x:c>
      <x:c r="C9" s="88" t="str">
        <x:v>ログ詳細・件数の単位</x:v>
      </x:c>
      <x:c r="D9" s="88" t="str">
        <x:v>INFO/WARNING/ERROR/DEBUGとIN/OUT件数は観点にあるがログ文言・件数粒度は不明。</x:v>
      </x:c>
      <x:c r="E9" s="88" t="str">
        <x:v>取得地点数、EP日別件数、INSERT件数、UPSERT UPDATE件数の集計単位を確認。</x:v>
      </x:c>
      <x:c r="F9" s="88" t="str">
        <x:v>ログ・結果検証</x:v>
      </x:c>
      <x:c r="G9" s="82" t="str">
        <x:v>未確認</x:v>
      </x:c>
    </x:row>
    <x:row r="10" ht="87" customHeight="1">
      <x:c r="A10" s="79" t="str">
        <x:v>Q-07</x:v>
      </x:c>
      <x:c r="B10" s="79" t="str">
        <x:v>中</x:v>
      </x:c>
      <x:c r="C10" s="79" t="str">
        <x:v>NULL・空文字のCAST</x:v>
      </x:c>
      <x:c r="D10" s="79" t="str">
        <x:v>NUMERIC/INTEGERへのCASTとNULL/空文字を含む計算が共通観点にある。</x:v>
      </x:c>
      <x:c r="E10" s="79" t="str">
        <x:v>事前NULLIF処理・除外条件・CAST例外の扱いを確認。</x:v>
      </x:c>
      <x:c r="F10" s="79" t="str">
        <x:v>項目設定・データ変換</x:v>
      </x:c>
      <x:c r="G10" s="82" t="str">
        <x:v>未確認</x:v>
      </x:c>
    </x:row>
    <x:row r="11" ht="87" customHeight="1">
      <x:c r="A11" s="88" t="str">
        <x:v>Q-08</x:v>
      </x:c>
      <x:c r="B11" s="88" t="str">
        <x:v>中</x:v>
      </x:c>
      <x:c r="C11" s="88" t="str">
        <x:v>ファイル更新日時の型</x:v>
      </x:c>
      <x:c r="D11" s="88" t="str">
        <x:v>新規登録時にファイル更新日時へ空文字を設定する記載。</x:v>
      </x:c>
      <x:c r="E11" s="88" t="str">
        <x:v>保存先が文字列型か日時型か、空文字が有効か確認。</x:v>
      </x:c>
      <x:c r="F11" s="88" t="str">
        <x:v>項目設定・データ変換</x:v>
      </x:c>
      <x:c r="G11" s="82" t="str">
        <x:v>未確認</x:v>
      </x:c>
    </x:row>
    <x:row r="12" ht="87" customHeight="1">
      <x:c r="A12" s="79" t="str">
        <x:v>Q-09</x:v>
      </x:c>
      <x:c r="B12" s="79" t="str">
        <x:v>中</x:v>
      </x:c>
      <x:c r="C12" s="79" t="str">
        <x:v>ARVE名称／番号の制約</x:v>
      </x:c>
      <x:c r="D12" s="79" t="str">
        <x:v>契約場所名義を結合、EPお客さま番号を先頭3文字と4文字目以降へ分割する。</x:v>
      </x:c>
      <x:c r="E12" s="79" t="str">
        <x:v>姓・名NULLの扱いと番号3桁未満の入力許可を確認。</x:v>
      </x:c>
      <x:c r="F12" s="79" t="str">
        <x:v>項目設定・データ変換</x:v>
      </x:c>
      <x:c r="G12" s="82" t="str">
        <x:v>未確認</x:v>
      </x:c>
    </x:row>
    <x:row r="13" ht="87" customHeight="1">
      <x:c r="A13" s="88" t="str">
        <x:v>Q-10</x:v>
      </x:c>
      <x:c r="B13" s="88" t="str">
        <x:v>中</x:v>
      </x:c>
      <x:c r="C13" s="88" t="str">
        <x:v>レポート対象月の参照値</x:v>
      </x:c>
      <x:c r="D13" s="88" t="str">
        <x:v>SELECTでは紐付け対象年月一致、EPデータJOINではレポート作成対象年月の月初～月末。</x:v>
      </x:c>
      <x:c r="E13" s="88" t="str">
        <x:v>異なる年月を参照する意図、日付型とBETWEENの包括範囲を確認。</x:v>
      </x:c>
      <x:c r="F13" s="88" t="str">
        <x:v>連携元データ結合</x:v>
      </x:c>
      <x:c r="G13" s="82" t="str">
        <x:v>未確認</x:v>
      </x:c>
    </x:row>
    <x:row r="14" ht="87" customHeight="1">
      <x:c r="A14" s="79" t="str">
        <x:v>Q-11</x:v>
      </x:c>
      <x:c r="B14" s="79" t="str">
        <x:v>中</x:v>
      </x:c>
      <x:c r="C14" s="79" t="str">
        <x:v>不正値・負数の許容範囲</x:v>
      </x:c>
      <x:c r="D14" s="79" t="str">
        <x:v>欠測／不正値件数と48コマの数値化があるが業務上の入力制約は不明。</x:v>
      </x:c>
      <x:c r="E14" s="79" t="str">
        <x:v>負数・大きな数・小数精度・NULLの扱いを確認。</x:v>
      </x:c>
      <x:c r="F14" s="79" t="str">
        <x:v>項目設定・データ変換</x:v>
      </x:c>
      <x:c r="G14" s="82" t="str">
        <x:v>未確認</x:v>
      </x:c>
    </x:row>
    <x:row r="15" ht="87" customHeight="1">
      <x:c r="A15" s="88" t="str">
        <x:v>Q-12</x:v>
      </x:c>
      <x:c r="B15" s="88" t="str">
        <x:v>低</x:v>
      </x:c>
      <x:c r="C15" s="88" t="str">
        <x:v>対象取得順序</x:v>
      </x:c>
      <x:c r="D15" s="88" t="str">
        <x:v>SQLでLIMIT 1000に相当する記載があるがORDER BYは画像から確認できない。</x:v>
      </x:c>
      <x:c r="E15" s="88" t="str">
        <x:v>処理順序要件の有無、同時更新時の安定性を確認。</x:v>
      </x:c>
      <x:c r="F15" s="88" t="str">
        <x:v>ループ・件数</x:v>
      </x:c>
      <x:c r="G15" s="82" t="str">
        <x:v>未確認</x:v>
      </x:c>
    </x:row>
    <x:row r="16" ht="87" customHeight="1">
      <x:c r="A16" s="79" t="str">
        <x:v>Q-13</x:v>
      </x:c>
      <x:c r="B16" s="79" t="str">
        <x:v>中</x:v>
      </x:c>
      <x:c r="C16" s="79" t="str">
        <x:v>監査項目のUPDATE列</x:v>
      </x:c>
      <x:c r="D16" s="79" t="str">
        <x:v>UPDATE時の監査項目に注記がある。部分的にUPDATE句は画像で判別できる。</x:v>
      </x:c>
      <x:c r="E16" s="79" t="str">
        <x:v>作成者・作成日時保持、削除フラグ更新、ファイル更新日時の扱いを実装SQLと照合。</x:v>
      </x:c>
      <x:c r="F16" s="79" t="str">
        <x:v>UPSERT登録・更新</x:v>
      </x:c>
      <x:c r="G16" s="82" t="str">
        <x:v>未確認</x:v>
      </x:c>
    </x:row>
    <x:row r="17" ht="87" customHeight="1">
      <x:c r="A17" s="88" t="str">
        <x:v>Q-14</x:v>
      </x:c>
      <x:c r="B17" s="88" t="str">
        <x:v>低</x:v>
      </x:c>
      <x:c r="C17" s="88" t="str">
        <x:v>元EPデータが0件のとき</x:v>
      </x:c>
      <x:c r="D17" s="88" t="str">
        <x:v>SELECT側条件一致でEP日別レコード0件となり得る。</x:v>
      </x:c>
      <x:c r="E17" s="88" t="str">
        <x:v>管理行を成功更新するか、紐付け日時を空のままにするか確認。</x:v>
      </x:c>
      <x:c r="F17" s="88" t="str">
        <x:v>連携元データ結合</x:v>
      </x:c>
      <x:c r="G17" s="82" t="str">
        <x:v>未確認</x:v>
      </x:c>
    </x:row>
    <x:row r="18" ht="87" customHeight="1">
      <x:c r="A18" s="79" t="str">
        <x:v>Q-15</x:v>
      </x:c>
      <x:c r="B18" s="79" t="str">
        <x:v>低</x:v>
      </x:c>
      <x:c r="C18" s="79" t="str">
        <x:v>バッチを二重起動した場合</x:v>
      </x:c>
      <x:c r="D18" s="79" t="str">
        <x:v>同じ対象を取得するバッチが並列起動し得る。</x:v>
      </x:c>
      <x:c r="E18" s="79" t="str">
        <x:v>排他制御・同一行ロックの必要性と対象範囲を確認（仕様外候補）。</x:v>
      </x:c>
      <x:c r="F18" s="79" t="str">
        <x:v>ループ・件数</x:v>
      </x:c>
      <x:c r="G18" s="82" t="str">
        <x:v>未確認</x:v>
      </x:c>
    </x:row>
  </x:sheetData>
  <x:mergeCells>
    <x:mergeCell ref="A1:G1"/>
    <x:mergeCell ref="A2:G2"/>
  </x:mergeCells>
  <x:dataValidations count="1">
    <x:dataValidation type="list" sqref="G4:G18">
      <x:formula1>"未確認,確認中,確認済み,保留"</x:formula1>
    </x:dataValidation>
  </x:dataValidations>
  <x:pageMargins left="0.7" right="0.7" top="0.75" bottom="0.75" header="0.3" footer="0.3"/>
</x:worksheet>
</file>