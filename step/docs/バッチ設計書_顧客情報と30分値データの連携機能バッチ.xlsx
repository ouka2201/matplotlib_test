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112356\Documents\"/>
    </mc:Choice>
  </mc:AlternateContent>
  <xr:revisionPtr revIDLastSave="0" documentId="13_ncr:1_{EC91E3EC-21A2-407A-B80E-183B2698216A}" xr6:coauthVersionLast="47" xr6:coauthVersionMax="47" xr10:uidLastSave="{00000000-0000-0000-0000-000000000000}"/>
  <bookViews>
    <workbookView xWindow="-28920" yWindow="750" windowWidth="29040" windowHeight="15720" tabRatio="890" activeTab="4" xr2:uid="{00000000-000D-0000-FFFF-FFFF00000000}"/>
  </bookViews>
  <sheets>
    <sheet name="表紙" sheetId="2" r:id="rId1"/>
    <sheet name="更新履歴" sheetId="3" r:id="rId2"/>
    <sheet name="バッチプロセスフロー" sheetId="1" r:id="rId3"/>
    <sheet name="バッチ処理概要定義書" sheetId="8" r:id="rId4"/>
    <sheet name="バッチ処理内容定義書" sheetId="9" r:id="rId5"/>
    <sheet name="データ項目更新仕様説明書" sheetId="6" r:id="rId6"/>
    <sheet name="【補足】バッチ年月仕様" sheetId="14" r:id="rId7"/>
    <sheet name="入力項目チェック仕様説明書" sheetId="11" r:id="rId8"/>
    <sheet name="処理結果一覧" sheetId="13" r:id="rId9"/>
  </sheets>
  <definedNames>
    <definedName name="_____a1">#REF!</definedName>
    <definedName name="____a1">#REF!</definedName>
    <definedName name="___a1">#REF!</definedName>
    <definedName name="__a1">#REF!</definedName>
    <definedName name="_a1">#REF!</definedName>
    <definedName name="DBTYPE">#REF!</definedName>
    <definedName name="_xlnm.Print_Area" localSheetId="6">【補足】バッチ年月仕様!$A$1:$BW$30</definedName>
    <definedName name="_xlnm.Print_Area" localSheetId="3">バッチ処理概要定義書!$A$1:$BL$40</definedName>
    <definedName name="_xlnm.Print_Area" localSheetId="1">更新履歴!$A$1:$I$12</definedName>
    <definedName name="_xlnm.Print_Area" localSheetId="0">表紙!$A$1:$N$22</definedName>
    <definedName name="Print_Title">#REF!</definedName>
    <definedName name="_xlnm.Print_Titles" localSheetId="3">バッチ処理概要定義書!$1:$5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" i="9" l="1"/>
  <c r="Z1" i="8"/>
  <c r="D3" i="6"/>
  <c r="K8" i="3"/>
  <c r="U6" i="1" s="1"/>
  <c r="G6" i="1" l="1"/>
  <c r="N1" i="1" l="1"/>
  <c r="AV2" i="9"/>
  <c r="D1" i="6"/>
  <c r="AU3" i="8"/>
  <c r="AR3" i="1" l="1"/>
  <c r="G1" i="3" l="1"/>
  <c r="B21" i="2"/>
  <c r="B18" i="2"/>
  <c r="C1" i="3" l="1"/>
  <c r="B7" i="2"/>
  <c r="A1" i="3" l="1"/>
  <c r="B4" i="2"/>
</calcChain>
</file>

<file path=xl/sharedStrings.xml><?xml version="1.0" encoding="utf-8"?>
<sst xmlns="http://schemas.openxmlformats.org/spreadsheetml/2006/main" count="715" uniqueCount="608">
  <si>
    <t>プロジェクト</t>
    <phoneticPr fontId="7"/>
  </si>
  <si>
    <t>Ver.</t>
    <phoneticPr fontId="7"/>
  </si>
  <si>
    <t>更新内容</t>
    <rPh sb="2" eb="4">
      <t>ナイヨウ</t>
    </rPh>
    <phoneticPr fontId="7"/>
  </si>
  <si>
    <t>対象シート</t>
    <rPh sb="0" eb="2">
      <t>タイショウ</t>
    </rPh>
    <phoneticPr fontId="7"/>
  </si>
  <si>
    <t>実装チケットID</t>
    <rPh sb="0" eb="2">
      <t>ジッソウ</t>
    </rPh>
    <phoneticPr fontId="7"/>
  </si>
  <si>
    <t>作成日/更新日</t>
    <rPh sb="0" eb="2">
      <t>サクセイ</t>
    </rPh>
    <rPh sb="2" eb="3">
      <t>ビ</t>
    </rPh>
    <rPh sb="6" eb="7">
      <t>ビ</t>
    </rPh>
    <phoneticPr fontId="7"/>
  </si>
  <si>
    <t>作成者/更新者</t>
    <rPh sb="0" eb="2">
      <t>サクセイ</t>
    </rPh>
    <rPh sb="6" eb="7">
      <t>シャ</t>
    </rPh>
    <phoneticPr fontId="7"/>
  </si>
  <si>
    <t>システム</t>
    <phoneticPr fontId="7"/>
  </si>
  <si>
    <t>1.0</t>
    <phoneticPr fontId="7"/>
  </si>
  <si>
    <t>全シート</t>
    <rPh sb="0" eb="1">
      <t>スベ</t>
    </rPh>
    <phoneticPr fontId="7"/>
  </si>
  <si>
    <t>－</t>
    <phoneticPr fontId="7"/>
  </si>
  <si>
    <t xml:space="preserve">    </t>
    <phoneticPr fontId="7"/>
  </si>
  <si>
    <t xml:space="preserve"> </t>
    <phoneticPr fontId="7"/>
  </si>
  <si>
    <t xml:space="preserve">  </t>
    <phoneticPr fontId="7"/>
  </si>
  <si>
    <t xml:space="preserve"> 処理フロー</t>
    <rPh sb="1" eb="3">
      <t>ショリ</t>
    </rPh>
    <phoneticPr fontId="7"/>
  </si>
  <si>
    <t>機能概要</t>
    <rPh sb="0" eb="2">
      <t>キノウ</t>
    </rPh>
    <rPh sb="2" eb="4">
      <t>ガイヨウ</t>
    </rPh>
    <phoneticPr fontId="7"/>
  </si>
  <si>
    <t>No</t>
    <phoneticPr fontId="7"/>
  </si>
  <si>
    <t>項目名</t>
    <rPh sb="0" eb="2">
      <t>コウモク</t>
    </rPh>
    <rPh sb="2" eb="3">
      <t>メイ</t>
    </rPh>
    <phoneticPr fontId="7"/>
  </si>
  <si>
    <t>入力仕様</t>
    <rPh sb="0" eb="2">
      <t>ニュウリョク</t>
    </rPh>
    <rPh sb="2" eb="4">
      <t>シヨウ</t>
    </rPh>
    <phoneticPr fontId="7"/>
  </si>
  <si>
    <t>設定値</t>
    <rPh sb="0" eb="2">
      <t>セッテイ</t>
    </rPh>
    <rPh sb="2" eb="3">
      <t>チ</t>
    </rPh>
    <phoneticPr fontId="7"/>
  </si>
  <si>
    <t>供給地点特定番号</t>
  </si>
  <si>
    <t>EPお客さま番号</t>
  </si>
  <si>
    <t>供給地点特定番号</t>
    <phoneticPr fontId="6"/>
  </si>
  <si>
    <t>取得_年月日</t>
  </si>
  <si>
    <t>欠測時間帯_件数</t>
  </si>
  <si>
    <t>V30分_使用_電力量_1</t>
  </si>
  <si>
    <t>V30分_使用_電力量_2</t>
  </si>
  <si>
    <t>V30分_使用_電力量_3</t>
  </si>
  <si>
    <t>V30分_使用_電力量_4</t>
  </si>
  <si>
    <t>V30分_使用_電力量_5</t>
  </si>
  <si>
    <t>V30分_使用_電力量_6</t>
  </si>
  <si>
    <t>V30分_使用_電力量_7</t>
  </si>
  <si>
    <t>V30分_使用_電力量_8</t>
  </si>
  <si>
    <t>V30分_使用_電力量_9</t>
  </si>
  <si>
    <t>V30分_使用_電力量_10</t>
  </si>
  <si>
    <t>V30分_使用_電力量_11</t>
  </si>
  <si>
    <t>V30分_使用_電力量_12</t>
  </si>
  <si>
    <t>V30分_使用_電力量_13</t>
  </si>
  <si>
    <t>V30分_使用_電力量_14</t>
  </si>
  <si>
    <t>V30分_使用_電力量_15</t>
  </si>
  <si>
    <t>V30分_使用_電力量_16</t>
  </si>
  <si>
    <t>V30分_使用_電力量_17</t>
  </si>
  <si>
    <t>V30分_使用_電力量_18</t>
  </si>
  <si>
    <t>V30分_使用_電力量_19</t>
  </si>
  <si>
    <t>V30分_使用_電力量_20</t>
  </si>
  <si>
    <t>V30分_使用_電力量_21</t>
  </si>
  <si>
    <t>V30分_使用_電力量_22</t>
  </si>
  <si>
    <t>V30分_使用_電力量_23</t>
  </si>
  <si>
    <t>V30分_使用_電力量_24</t>
  </si>
  <si>
    <t>V30分_使用_電力量_25</t>
  </si>
  <si>
    <t>V30分_使用_電力量_26</t>
  </si>
  <si>
    <t>V30分_使用_電力量_27</t>
  </si>
  <si>
    <t>V30分_使用_電力量_28</t>
  </si>
  <si>
    <t>V30分_使用_電力量_29</t>
  </si>
  <si>
    <t>V30分_使用_電力量_30</t>
  </si>
  <si>
    <t>V30分_使用_電力量_31</t>
  </si>
  <si>
    <t>V30分_使用_電力量_32</t>
  </si>
  <si>
    <t>V30分_使用_電力量_33</t>
  </si>
  <si>
    <t>V30分_使用_電力量_34</t>
  </si>
  <si>
    <t>V30分_使用_電力量_35</t>
  </si>
  <si>
    <t>V30分_使用_電力量_36</t>
  </si>
  <si>
    <t>V30分_使用_電力量_37</t>
  </si>
  <si>
    <t>V30分_使用_電力量_38</t>
  </si>
  <si>
    <t>V30分_使用_電力量_39</t>
  </si>
  <si>
    <t>V30分_使用_電力量_40</t>
  </si>
  <si>
    <t>V30分_使用_電力量_41</t>
  </si>
  <si>
    <t>V30分_使用_電力量_42</t>
  </si>
  <si>
    <t>V30分_使用_電力量_43</t>
  </si>
  <si>
    <t>V30分_使用_電力量_44</t>
  </si>
  <si>
    <t>V30分_使用_電力量_45</t>
  </si>
  <si>
    <t>V30分_使用_電力量_46</t>
  </si>
  <si>
    <t>V30分_使用_電力量_47</t>
  </si>
  <si>
    <t>V30分_使用_電力量_48</t>
  </si>
  <si>
    <t>同意書取得区分</t>
  </si>
  <si>
    <t>お客さま名</t>
  </si>
  <si>
    <t>建物名</t>
  </si>
  <si>
    <t>企業ID</t>
    <rPh sb="0" eb="2">
      <t>キギョウ</t>
    </rPh>
    <phoneticPr fontId="13"/>
  </si>
  <si>
    <t>削除フラグ</t>
  </si>
  <si>
    <t>作成者</t>
    <rPh sb="0" eb="2">
      <t>サクセイ</t>
    </rPh>
    <phoneticPr fontId="13"/>
  </si>
  <si>
    <t>作成日時</t>
    <rPh sb="0" eb="2">
      <t>サクセイ</t>
    </rPh>
    <phoneticPr fontId="13"/>
  </si>
  <si>
    <t>更新者</t>
  </si>
  <si>
    <t>更新日時</t>
  </si>
  <si>
    <t>ファイル更新日時</t>
  </si>
  <si>
    <t>ARVE連携お客さま名</t>
    <rPh sb="4" eb="6">
      <t>レンケイ</t>
    </rPh>
    <rPh sb="10" eb="11">
      <t>メイ</t>
    </rPh>
    <phoneticPr fontId="11"/>
  </si>
  <si>
    <t>ARVE連携お客さま番号</t>
    <rPh sb="4" eb="6">
      <t>レンケイ</t>
    </rPh>
    <rPh sb="10" eb="12">
      <t>バンゴウ</t>
    </rPh>
    <phoneticPr fontId="11"/>
  </si>
  <si>
    <t>ARVE連携事業所コード</t>
    <rPh sb="4" eb="6">
      <t>レンケイ</t>
    </rPh>
    <phoneticPr fontId="11"/>
  </si>
  <si>
    <t>法人番号</t>
    <phoneticPr fontId="6"/>
  </si>
  <si>
    <t>組織ID</t>
    <phoneticPr fontId="6"/>
  </si>
  <si>
    <t>拠点ID</t>
    <phoneticPr fontId="6"/>
  </si>
  <si>
    <t>""</t>
    <phoneticPr fontId="6"/>
  </si>
  <si>
    <t>"FALSE"</t>
    <phoneticPr fontId="6"/>
  </si>
  <si>
    <t>※デフォルト値は「FALSE」</t>
    <rPh sb="6" eb="7">
      <t>チ</t>
    </rPh>
    <phoneticPr fontId="6"/>
  </si>
  <si>
    <t>不正値時間帯_件数</t>
    <phoneticPr fontId="6"/>
  </si>
  <si>
    <t>バッチ処理概要定義書</t>
    <rPh sb="3" eb="5">
      <t>ショリ</t>
    </rPh>
    <rPh sb="5" eb="7">
      <t>ガイヨウ</t>
    </rPh>
    <rPh sb="7" eb="10">
      <t>テイギショ</t>
    </rPh>
    <phoneticPr fontId="7"/>
  </si>
  <si>
    <t>フォーマットNo.</t>
    <phoneticPr fontId="7"/>
  </si>
  <si>
    <t>前提条件</t>
    <rPh sb="0" eb="2">
      <t>ゼンテイ</t>
    </rPh>
    <rPh sb="2" eb="4">
      <t>ジョウケン</t>
    </rPh>
    <phoneticPr fontId="7"/>
  </si>
  <si>
    <t>処理方式</t>
    <rPh sb="0" eb="2">
      <t>ショリ</t>
    </rPh>
    <rPh sb="2" eb="4">
      <t>ホウシキ</t>
    </rPh>
    <phoneticPr fontId="7"/>
  </si>
  <si>
    <t>実行環境</t>
    <rPh sb="0" eb="2">
      <t>ジッコウ</t>
    </rPh>
    <rPh sb="2" eb="4">
      <t>カンキョウ</t>
    </rPh>
    <phoneticPr fontId="7"/>
  </si>
  <si>
    <t>想定データ量・目標処理時間</t>
    <rPh sb="7" eb="9">
      <t>モクヒョウ</t>
    </rPh>
    <rPh sb="9" eb="11">
      <t>ショリ</t>
    </rPh>
    <phoneticPr fontId="7"/>
  </si>
  <si>
    <t>システム</t>
  </si>
  <si>
    <t>CNレポート作成アプリ「LecMoc」</t>
  </si>
  <si>
    <t>基本設計作成日</t>
    <rPh sb="0" eb="4">
      <t>キホンセッケイ</t>
    </rPh>
    <rPh sb="4" eb="7">
      <t>サクセイビ</t>
    </rPh>
    <phoneticPr fontId="5"/>
  </si>
  <si>
    <t>2026.12.21</t>
  </si>
  <si>
    <t>表紙上段</t>
    <rPh sb="0" eb="2">
      <t>ヒョウシ</t>
    </rPh>
    <rPh sb="2" eb="4">
      <t>ジョウダン</t>
    </rPh>
    <phoneticPr fontId="10"/>
  </si>
  <si>
    <t>表紙中段</t>
    <rPh sb="0" eb="2">
      <t>ヒョウシ</t>
    </rPh>
    <rPh sb="2" eb="4">
      <t>チュウダン</t>
    </rPh>
    <phoneticPr fontId="10"/>
  </si>
  <si>
    <t>仕様書名</t>
    <rPh sb="0" eb="3">
      <t>シヨウショ</t>
    </rPh>
    <rPh sb="3" eb="4">
      <t>メイ</t>
    </rPh>
    <phoneticPr fontId="10"/>
  </si>
  <si>
    <t>ID</t>
  </si>
  <si>
    <t>名</t>
    <rPh sb="0" eb="1">
      <t>メイ</t>
    </rPh>
    <phoneticPr fontId="10"/>
  </si>
  <si>
    <t>[バッチ設計]</t>
    <rPh sb="4" eb="6">
      <t>セッケイ</t>
    </rPh>
    <phoneticPr fontId="10"/>
  </si>
  <si>
    <t>バッチプロセスフロー</t>
    <phoneticPr fontId="7"/>
  </si>
  <si>
    <t>処理時間帯</t>
    <rPh sb="0" eb="2">
      <t>ショリ</t>
    </rPh>
    <rPh sb="2" eb="5">
      <t>ジカンタイ</t>
    </rPh>
    <phoneticPr fontId="24"/>
  </si>
  <si>
    <t>実行周期</t>
    <rPh sb="0" eb="2">
      <t>ジッコウ</t>
    </rPh>
    <rPh sb="2" eb="4">
      <t>シュウキ</t>
    </rPh>
    <phoneticPr fontId="24"/>
  </si>
  <si>
    <t>備　考</t>
    <rPh sb="0" eb="1">
      <t>ソナエ</t>
    </rPh>
    <rPh sb="2" eb="3">
      <t>コウ</t>
    </rPh>
    <phoneticPr fontId="24"/>
  </si>
  <si>
    <t>バッチ処理内容定義書</t>
    <rPh sb="3" eb="5">
      <t>ショリ</t>
    </rPh>
    <rPh sb="5" eb="7">
      <t>ナイヨウ</t>
    </rPh>
    <rPh sb="7" eb="10">
      <t>テイギショ</t>
    </rPh>
    <phoneticPr fontId="7"/>
  </si>
  <si>
    <t>SS1-2-14</t>
    <phoneticPr fontId="7"/>
  </si>
  <si>
    <t>KS2-4-05／SS2-1-02</t>
    <phoneticPr fontId="7"/>
  </si>
  <si>
    <t>KS2-4-06</t>
    <phoneticPr fontId="7"/>
  </si>
  <si>
    <t>データ項目更新仕様説明書</t>
  </si>
  <si>
    <t>フォーマットNo.</t>
  </si>
  <si>
    <t>SS1-2-15</t>
    <phoneticPr fontId="6"/>
  </si>
  <si>
    <t>バッチID</t>
    <phoneticPr fontId="24"/>
  </si>
  <si>
    <t>バッチ名</t>
    <rPh sb="3" eb="4">
      <t>メイ</t>
    </rPh>
    <phoneticPr fontId="7"/>
  </si>
  <si>
    <t>更新日</t>
    <rPh sb="0" eb="3">
      <t>コウシンヒ</t>
    </rPh>
    <phoneticPr fontId="7"/>
  </si>
  <si>
    <t>更新者</t>
    <rPh sb="0" eb="3">
      <t>コウシンシャ</t>
    </rPh>
    <phoneticPr fontId="7"/>
  </si>
  <si>
    <t>入力項目チェック仕様説明書</t>
    <rPh sb="0" eb="2">
      <t>ニュウリョク</t>
    </rPh>
    <rPh sb="2" eb="4">
      <t>コウモク</t>
    </rPh>
    <rPh sb="8" eb="10">
      <t>シヨウ</t>
    </rPh>
    <rPh sb="10" eb="13">
      <t>セツメイショ</t>
    </rPh>
    <phoneticPr fontId="7"/>
  </si>
  <si>
    <t>SS1-2-16</t>
    <phoneticPr fontId="7"/>
  </si>
  <si>
    <t>KS2-4-05_バッチプロセスフロー.xls</t>
  </si>
  <si>
    <t>KS2-4-06_バッチ処理概要定義書.xls</t>
  </si>
  <si>
    <t>＜基本設計＞</t>
    <rPh sb="1" eb="5">
      <t>キホンセッケイ</t>
    </rPh>
    <phoneticPr fontId="6"/>
  </si>
  <si>
    <t>＜詳細設計＞</t>
    <rPh sb="1" eb="3">
      <t>ショウサイ</t>
    </rPh>
    <rPh sb="3" eb="5">
      <t>セッケイ</t>
    </rPh>
    <phoneticPr fontId="6"/>
  </si>
  <si>
    <t>SS2-1-02_バッチプロセスフロー（詳細）.xls</t>
  </si>
  <si>
    <t>SS2-1-03_バッチプロセス定義書.xls</t>
  </si>
  <si>
    <t>SS1-2-14_バッチ処理内容定義書.xls</t>
  </si>
  <si>
    <t>SS1-2-15_データ項目更新仕様説明書.xls</t>
  </si>
  <si>
    <t>SS1-2-16_入力項目チェック仕様説明書.xls</t>
  </si>
  <si>
    <t>⇒バッチ処理概要定義書　シート</t>
    <phoneticPr fontId="6"/>
  </si>
  <si>
    <t>⇒データ項目更新仕様説明書　シート</t>
    <phoneticPr fontId="6"/>
  </si>
  <si>
    <t>⇒入力項目チェック仕様説明書　シート</t>
    <phoneticPr fontId="6"/>
  </si>
  <si>
    <t>⇒バッチプロセスフロー　シート</t>
    <phoneticPr fontId="6"/>
  </si>
  <si>
    <t>SS1-2-13_連携処理内容定義書.xls</t>
    <phoneticPr fontId="6"/>
  </si>
  <si>
    <t>⇒連携処理内容定義書　シート※TDVデータ連携機能のみ作成</t>
    <rPh sb="21" eb="23">
      <t>レンケイ</t>
    </rPh>
    <rPh sb="23" eb="25">
      <t>キノウ</t>
    </rPh>
    <rPh sb="27" eb="29">
      <t>サクセイ</t>
    </rPh>
    <phoneticPr fontId="6"/>
  </si>
  <si>
    <t>下田</t>
    <rPh sb="0" eb="2">
      <t>シモダ</t>
    </rPh>
    <phoneticPr fontId="6"/>
  </si>
  <si>
    <t>BLMMVMVBUILDING</t>
    <phoneticPr fontId="6"/>
  </si>
  <si>
    <t>顧客情報と30分値データの連携機能</t>
    <phoneticPr fontId="6"/>
  </si>
  <si>
    <t>順次方式</t>
    <rPh sb="0" eb="4">
      <t>ジュンジホウシキ</t>
    </rPh>
    <phoneticPr fontId="6"/>
  </si>
  <si>
    <t>LecMoc上に登録されている顧客情報と</t>
    <phoneticPr fontId="6"/>
  </si>
  <si>
    <t>レコードが存在すること</t>
  </si>
  <si>
    <t>制限なし</t>
    <rPh sb="0" eb="2">
      <t>セイゲン</t>
    </rPh>
    <phoneticPr fontId="6"/>
  </si>
  <si>
    <t>業務プロセスID・処理機能ID</t>
    <phoneticPr fontId="6"/>
  </si>
  <si>
    <t>業務プロセス名・処理機能名</t>
    <phoneticPr fontId="6"/>
  </si>
  <si>
    <t>・建物マスタに処理対象の供給地点特定番号を持つ</t>
    <rPh sb="1" eb="3">
      <t>タテモノ</t>
    </rPh>
    <rPh sb="7" eb="11">
      <t>ショリタイショウ</t>
    </rPh>
    <rPh sb="12" eb="20">
      <t>キョウキュウチテントクテイバンゴウ</t>
    </rPh>
    <phoneticPr fontId="6"/>
  </si>
  <si>
    <t>・ARVEお客さま情報に処理対象の供給地点特定番号を持つ</t>
    <phoneticPr fontId="6"/>
  </si>
  <si>
    <t>処理対象は移行したデータ</t>
    <rPh sb="0" eb="4">
      <t>ショリタイショウ</t>
    </rPh>
    <rPh sb="5" eb="7">
      <t>イコウ</t>
    </rPh>
    <phoneticPr fontId="6"/>
  </si>
  <si>
    <t>LecMoc上</t>
    <rPh sb="6" eb="7">
      <t>ジョウ</t>
    </rPh>
    <phoneticPr fontId="6"/>
  </si>
  <si>
    <t>30分値・顧客情報取込バッチから呼び出される</t>
    <rPh sb="16" eb="17">
      <t>ヨ</t>
    </rPh>
    <rPh sb="18" eb="19">
      <t>ダ</t>
    </rPh>
    <phoneticPr fontId="6"/>
  </si>
  <si>
    <t>・EPデータ参照基盤30分値に処理対象の供給地点特定番号を持つ</t>
    <rPh sb="12" eb="14">
      <t>フンアタイ</t>
    </rPh>
    <phoneticPr fontId="6"/>
  </si>
  <si>
    <t>毎月一回</t>
    <rPh sb="0" eb="2">
      <t>マイツキ</t>
    </rPh>
    <rPh sb="2" eb="4">
      <t>イッカイ</t>
    </rPh>
    <phoneticPr fontId="6"/>
  </si>
  <si>
    <t>EPデータ参照基盤から自動連携された30分値データを紐づけ、</t>
    <phoneticPr fontId="6"/>
  </si>
  <si>
    <t>「30分値生データ情報」TBLに該当の30分値を登録する機能。</t>
  </si>
  <si>
    <t>ARVEデータ月間10万程度</t>
    <rPh sb="7" eb="9">
      <t>ゲッカン</t>
    </rPh>
    <rPh sb="11" eb="12">
      <t>マン</t>
    </rPh>
    <rPh sb="12" eb="14">
      <t>テイド</t>
    </rPh>
    <phoneticPr fontId="6"/>
  </si>
  <si>
    <t>EPデータ参照基盤データ10万 * 30日で300万レコード</t>
    <rPh sb="5" eb="7">
      <t>サンショウ</t>
    </rPh>
    <rPh sb="7" eb="9">
      <t>キバン</t>
    </rPh>
    <rPh sb="14" eb="15">
      <t>マン</t>
    </rPh>
    <rPh sb="20" eb="21">
      <t>ニチ</t>
    </rPh>
    <rPh sb="25" eb="26">
      <t>マン</t>
    </rPh>
    <phoneticPr fontId="6"/>
  </si>
  <si>
    <t>※新規顧客データの場合365日分取得例えば1万が新規顧客だと</t>
    <rPh sb="1" eb="3">
      <t>シンキ</t>
    </rPh>
    <rPh sb="3" eb="5">
      <t>コキャク</t>
    </rPh>
    <rPh sb="9" eb="11">
      <t>バアイ</t>
    </rPh>
    <rPh sb="14" eb="15">
      <t>ニチ</t>
    </rPh>
    <rPh sb="15" eb="16">
      <t>ブン</t>
    </rPh>
    <rPh sb="16" eb="18">
      <t>シュトク</t>
    </rPh>
    <rPh sb="18" eb="19">
      <t>タト</t>
    </rPh>
    <rPh sb="22" eb="23">
      <t>マン</t>
    </rPh>
    <rPh sb="24" eb="26">
      <t>シンキ</t>
    </rPh>
    <rPh sb="26" eb="28">
      <t>コキャク</t>
    </rPh>
    <phoneticPr fontId="6"/>
  </si>
  <si>
    <t>9万 * 30日 + 1万 * 365日 = 270万 + 365万 = 635万レコード</t>
    <rPh sb="1" eb="2">
      <t>マン</t>
    </rPh>
    <rPh sb="7" eb="8">
      <t>ニチ</t>
    </rPh>
    <rPh sb="12" eb="13">
      <t>マン</t>
    </rPh>
    <rPh sb="19" eb="20">
      <t>ニチ</t>
    </rPh>
    <rPh sb="26" eb="27">
      <t>マン</t>
    </rPh>
    <rPh sb="33" eb="34">
      <t>マン</t>
    </rPh>
    <rPh sb="40" eb="41">
      <t>マン</t>
    </rPh>
    <phoneticPr fontId="6"/>
  </si>
  <si>
    <t>目標処理時間については、</t>
    <rPh sb="0" eb="2">
      <t>モクヒョウ</t>
    </rPh>
    <rPh sb="2" eb="4">
      <t>ショリ</t>
    </rPh>
    <rPh sb="4" eb="6">
      <t>ジカン</t>
    </rPh>
    <phoneticPr fontId="6"/>
  </si>
  <si>
    <t>①データ取得（本処理)</t>
    <rPh sb="4" eb="6">
      <t>シュトク</t>
    </rPh>
    <rPh sb="7" eb="10">
      <t>ホンショリ</t>
    </rPh>
    <phoneticPr fontId="6"/>
  </si>
  <si>
    <t>②PDF出力</t>
    <rPh sb="4" eb="6">
      <t>シュツリョク</t>
    </rPh>
    <phoneticPr fontId="6"/>
  </si>
  <si>
    <t>③PDFの担当ごとのZIP化</t>
    <rPh sb="5" eb="7">
      <t>タントウ</t>
    </rPh>
    <rPh sb="13" eb="14">
      <t>カ</t>
    </rPh>
    <phoneticPr fontId="6"/>
  </si>
  <si>
    <t>合わせて10日程度とする</t>
    <rPh sb="0" eb="1">
      <t>ア</t>
    </rPh>
    <rPh sb="6" eb="7">
      <t>ニチ</t>
    </rPh>
    <rPh sb="7" eb="9">
      <t>テイド</t>
    </rPh>
    <phoneticPr fontId="6"/>
  </si>
  <si>
    <t>こちらの処理の完了待ちなどはなし。</t>
    <rPh sb="4" eb="6">
      <t>ショリ</t>
    </rPh>
    <rPh sb="7" eb="9">
      <t>カンリョウ</t>
    </rPh>
    <rPh sb="9" eb="10">
      <t>マ</t>
    </rPh>
    <phoneticPr fontId="6"/>
  </si>
  <si>
    <t>30分値・顧客情報取込での処理が</t>
    <rPh sb="13" eb="15">
      <t>ショリ</t>
    </rPh>
    <phoneticPr fontId="6"/>
  </si>
  <si>
    <t>すべて終わった後に処理を行う。</t>
  </si>
  <si>
    <t>CNレポート作成アプリ「LecMoc」</t>
    <phoneticPr fontId="6"/>
  </si>
  <si>
    <t>項番</t>
    <phoneticPr fontId="7"/>
  </si>
  <si>
    <t>DD-ID</t>
    <phoneticPr fontId="7"/>
  </si>
  <si>
    <t>入力項目名</t>
    <rPh sb="0" eb="2">
      <t>ニュウリョク</t>
    </rPh>
    <rPh sb="2" eb="4">
      <t>コウモク</t>
    </rPh>
    <rPh sb="4" eb="5">
      <t>メイ</t>
    </rPh>
    <phoneticPr fontId="7"/>
  </si>
  <si>
    <t>単項目チェック</t>
    <rPh sb="0" eb="1">
      <t>タン</t>
    </rPh>
    <rPh sb="1" eb="3">
      <t>コウモク</t>
    </rPh>
    <phoneticPr fontId="7"/>
  </si>
  <si>
    <t>その他チェック</t>
    <rPh sb="2" eb="3">
      <t>タ</t>
    </rPh>
    <phoneticPr fontId="7"/>
  </si>
  <si>
    <t>必須区分</t>
    <rPh sb="0" eb="2">
      <t>ヒッス</t>
    </rPh>
    <rPh sb="2" eb="4">
      <t>クブン</t>
    </rPh>
    <phoneticPr fontId="7"/>
  </si>
  <si>
    <t>データ型</t>
    <rPh sb="3" eb="4">
      <t>ガタ</t>
    </rPh>
    <phoneticPr fontId="27"/>
  </si>
  <si>
    <t>桁数</t>
    <rPh sb="0" eb="2">
      <t>ケタスウ</t>
    </rPh>
    <phoneticPr fontId="27"/>
  </si>
  <si>
    <t>小数点以下
桁数</t>
    <rPh sb="0" eb="3">
      <t>ショウスウテン</t>
    </rPh>
    <rPh sb="3" eb="5">
      <t>イカ</t>
    </rPh>
    <rPh sb="6" eb="8">
      <t>ケタスウ</t>
    </rPh>
    <phoneticPr fontId="27"/>
  </si>
  <si>
    <t>範囲</t>
    <rPh sb="0" eb="2">
      <t>ハンイ</t>
    </rPh>
    <phoneticPr fontId="7"/>
  </si>
  <si>
    <t>許可文字種フラグ</t>
    <rPh sb="0" eb="2">
      <t>キョカ</t>
    </rPh>
    <rPh sb="2" eb="4">
      <t>モジ</t>
    </rPh>
    <rPh sb="4" eb="5">
      <t>シュ</t>
    </rPh>
    <phoneticPr fontId="27"/>
  </si>
  <si>
    <t>メッセージ-ID</t>
    <phoneticPr fontId="7"/>
  </si>
  <si>
    <t>エラー種別
区分</t>
    <rPh sb="3" eb="5">
      <t>シュベツ</t>
    </rPh>
    <rPh sb="6" eb="8">
      <t>クブン</t>
    </rPh>
    <phoneticPr fontId="7"/>
  </si>
  <si>
    <t>チェック内容
(項目関連チェック,マスタチェック,データ整合性チェック等)</t>
    <phoneticPr fontId="7"/>
  </si>
  <si>
    <t>最小値</t>
    <rPh sb="0" eb="3">
      <t>サイショウチ</t>
    </rPh>
    <phoneticPr fontId="7"/>
  </si>
  <si>
    <t>最大値</t>
    <rPh sb="0" eb="3">
      <t>サイダイチ</t>
    </rPh>
    <phoneticPr fontId="7"/>
  </si>
  <si>
    <t>半角の場合</t>
    <rPh sb="0" eb="2">
      <t>ハンカク</t>
    </rPh>
    <rPh sb="3" eb="5">
      <t>バアイ</t>
    </rPh>
    <phoneticPr fontId="27"/>
  </si>
  <si>
    <t>全角の場合</t>
    <rPh sb="0" eb="2">
      <t>ゼンカク</t>
    </rPh>
    <rPh sb="3" eb="5">
      <t>バアイ</t>
    </rPh>
    <phoneticPr fontId="27"/>
  </si>
  <si>
    <t>数値</t>
    <rPh sb="0" eb="2">
      <t>スウチ</t>
    </rPh>
    <phoneticPr fontId="27"/>
  </si>
  <si>
    <t>英字
小</t>
    <rPh sb="0" eb="1">
      <t>エイ</t>
    </rPh>
    <rPh sb="1" eb="2">
      <t>ジ</t>
    </rPh>
    <rPh sb="3" eb="4">
      <t>ショウ</t>
    </rPh>
    <phoneticPr fontId="27"/>
  </si>
  <si>
    <t>英字
大</t>
    <rPh sb="0" eb="1">
      <t>エイ</t>
    </rPh>
    <rPh sb="1" eb="2">
      <t>ジ</t>
    </rPh>
    <rPh sb="3" eb="4">
      <t>ダイ</t>
    </rPh>
    <phoneticPr fontId="27"/>
  </si>
  <si>
    <t>カナ</t>
    <phoneticPr fontId="27"/>
  </si>
  <si>
    <t>空白</t>
    <rPh sb="0" eb="2">
      <t>クウハク</t>
    </rPh>
    <phoneticPr fontId="27"/>
  </si>
  <si>
    <t>記号</t>
    <rPh sb="0" eb="2">
      <t>キゴウ</t>
    </rPh>
    <phoneticPr fontId="27"/>
  </si>
  <si>
    <t>改行</t>
    <rPh sb="0" eb="2">
      <t>カイギョウ</t>
    </rPh>
    <phoneticPr fontId="27"/>
  </si>
  <si>
    <t>かな</t>
    <phoneticPr fontId="27"/>
  </si>
  <si>
    <t>漢字</t>
    <rPh sb="0" eb="2">
      <t>カンジ</t>
    </rPh>
    <phoneticPr fontId="27"/>
  </si>
  <si>
    <t>外字</t>
    <rPh sb="0" eb="2">
      <t>ガイジ</t>
    </rPh>
    <phoneticPr fontId="27"/>
  </si>
  <si>
    <t>2026.12.21</t>
    <phoneticPr fontId="7"/>
  </si>
  <si>
    <t>処理結果一覧</t>
    <rPh sb="0" eb="2">
      <t>ショリ</t>
    </rPh>
    <rPh sb="2" eb="4">
      <t>ケッカ</t>
    </rPh>
    <rPh sb="4" eb="6">
      <t>イチラン</t>
    </rPh>
    <phoneticPr fontId="7"/>
  </si>
  <si>
    <t>SS2-1-05</t>
    <phoneticPr fontId="7"/>
  </si>
  <si>
    <t>異常/正常</t>
    <rPh sb="0" eb="2">
      <t>イジョウ</t>
    </rPh>
    <rPh sb="3" eb="5">
      <t>セイジョウ</t>
    </rPh>
    <phoneticPr fontId="7"/>
  </si>
  <si>
    <t>プロセス番号</t>
    <rPh sb="4" eb="6">
      <t>バンゴウ</t>
    </rPh>
    <phoneticPr fontId="6"/>
  </si>
  <si>
    <t>発生条件</t>
    <rPh sb="0" eb="4">
      <t>ハッセイジョウケン</t>
    </rPh>
    <phoneticPr fontId="6"/>
  </si>
  <si>
    <t>DBロールバック有無</t>
    <rPh sb="8" eb="10">
      <t>ウム</t>
    </rPh>
    <phoneticPr fontId="6"/>
  </si>
  <si>
    <t>正常</t>
    <rPh sb="0" eb="2">
      <t>セイジョウ</t>
    </rPh>
    <phoneticPr fontId="6"/>
  </si>
  <si>
    <t>正常終了したとき</t>
    <rPh sb="0" eb="4">
      <t>セイジョウシュウリョウ</t>
    </rPh>
    <phoneticPr fontId="6"/>
  </si>
  <si>
    <t>無</t>
    <rPh sb="0" eb="1">
      <t>ナ</t>
    </rPh>
    <phoneticPr fontId="6"/>
  </si>
  <si>
    <t>SELECT</t>
    <phoneticPr fontId="7"/>
  </si>
  <si>
    <t>項目名</t>
    <rPh sb="0" eb="3">
      <t>コウモクメイ</t>
    </rPh>
    <phoneticPr fontId="7"/>
  </si>
  <si>
    <t>対象テーブル</t>
    <rPh sb="0" eb="2">
      <t>タイショウ</t>
    </rPh>
    <phoneticPr fontId="7"/>
  </si>
  <si>
    <t>結合条件</t>
    <rPh sb="0" eb="4">
      <t>ケツゴウジョウケン</t>
    </rPh>
    <phoneticPr fontId="6"/>
  </si>
  <si>
    <t>条件</t>
    <rPh sb="0" eb="2">
      <t>ジョウケン</t>
    </rPh>
    <phoneticPr fontId="6"/>
  </si>
  <si>
    <t>グループ</t>
    <phoneticPr fontId="6"/>
  </si>
  <si>
    <t>ソート順</t>
    <rPh sb="3" eb="4">
      <t>ジュン</t>
    </rPh>
    <phoneticPr fontId="6"/>
  </si>
  <si>
    <t>CRUD</t>
    <phoneticPr fontId="6"/>
  </si>
  <si>
    <t>LecMoc30分値自動登録</t>
    <phoneticPr fontId="7"/>
  </si>
  <si>
    <t>処理対象取得</t>
    <rPh sb="0" eb="6">
      <t>ショリタイショウシュトク</t>
    </rPh>
    <phoneticPr fontId="7"/>
  </si>
  <si>
    <t>EPデータ参照基盤データ30分値.供給地点特定番号</t>
    <rPh sb="16" eb="22">
      <t>キョウキュウチテントクテイ</t>
    </rPh>
    <rPh sb="22" eb="24">
      <t>バンゴウ</t>
    </rPh>
    <phoneticPr fontId="6"/>
  </si>
  <si>
    <t>EPデータ参照基盤データ30分値.取得_年月日</t>
    <rPh sb="16" eb="18">
      <t>シュトク</t>
    </rPh>
    <rPh sb="19" eb="22">
      <t>ネンガッピ</t>
    </rPh>
    <phoneticPr fontId="6"/>
  </si>
  <si>
    <t>建物マスタ.法人番号</t>
    <rPh sb="4" eb="8">
      <t>ホウジンバンゴウ</t>
    </rPh>
    <phoneticPr fontId="6"/>
  </si>
  <si>
    <t>建物マスタ.同意書取得区分</t>
    <rPh sb="5" eb="8">
      <t>ドウイショ</t>
    </rPh>
    <rPh sb="8" eb="10">
      <t>シュトク</t>
    </rPh>
    <rPh sb="10" eb="12">
      <t>クブン</t>
    </rPh>
    <phoneticPr fontId="6"/>
  </si>
  <si>
    <t>建物マスタ.組織ID</t>
    <rPh sb="5" eb="7">
      <t>ソシキ</t>
    </rPh>
    <phoneticPr fontId="6"/>
  </si>
  <si>
    <t>建物マスタ.拠点ID</t>
    <rPh sb="5" eb="7">
      <t>キョテン</t>
    </rPh>
    <phoneticPr fontId="6"/>
  </si>
  <si>
    <t>建物マスタ.EPお客さま番号</t>
    <rPh sb="8" eb="9">
      <t>キャク</t>
    </rPh>
    <rPh sb="11" eb="13">
      <t>バンゴウ</t>
    </rPh>
    <phoneticPr fontId="6"/>
  </si>
  <si>
    <t>ARVEお客さま情報.企業ID</t>
    <rPh sb="9" eb="11">
      <t>キギョウ</t>
    </rPh>
    <phoneticPr fontId="6"/>
  </si>
  <si>
    <t>ARVEお客さま情報.EPお客さま番号の4桁目以降</t>
    <rPh sb="14" eb="15">
      <t>キャク</t>
    </rPh>
    <rPh sb="17" eb="19">
      <t>バンゴウ</t>
    </rPh>
    <rPh sb="21" eb="22">
      <t>ケタ</t>
    </rPh>
    <rPh sb="22" eb="23">
      <t>メ</t>
    </rPh>
    <rPh sb="23" eb="25">
      <t>イコウ</t>
    </rPh>
    <phoneticPr fontId="6"/>
  </si>
  <si>
    <t>ARVEお客さま情報.EPお客さま番号の1~3桁目</t>
    <rPh sb="14" eb="15">
      <t>キャク</t>
    </rPh>
    <rPh sb="17" eb="19">
      <t>バンゴウ</t>
    </rPh>
    <rPh sb="23" eb="24">
      <t>ケタ</t>
    </rPh>
    <rPh sb="24" eb="25">
      <t>メ</t>
    </rPh>
    <phoneticPr fontId="6"/>
  </si>
  <si>
    <t>　　</t>
    <phoneticPr fontId="6"/>
  </si>
  <si>
    <t>"",</t>
    <phoneticPr fontId="6"/>
  </si>
  <si>
    <t>ARVEお客さま情報.契約場所_名義(姓)＿契約場所_名義(名)</t>
    <phoneticPr fontId="6"/>
  </si>
  <si>
    <t>30分値取込管理</t>
    <rPh sb="4" eb="6">
      <t>トリコミ</t>
    </rPh>
    <phoneticPr fontId="7"/>
  </si>
  <si>
    <t>LecMoc上に登録されている顧客情報とEPデータ参照基盤から自動連携された30分値データを紐づけ、「30分値の生データ情報」TBLに該当の30分値を登録する。</t>
    <rPh sb="6" eb="7">
      <t>ジョウ</t>
    </rPh>
    <rPh sb="8" eb="10">
      <t>トウロク</t>
    </rPh>
    <rPh sb="15" eb="17">
      <t>コキャク</t>
    </rPh>
    <rPh sb="17" eb="19">
      <t>ジョウホウ</t>
    </rPh>
    <phoneticPr fontId="6"/>
  </si>
  <si>
    <t>法人番号,</t>
    <phoneticPr fontId="6"/>
  </si>
  <si>
    <t>同意書取得区分,</t>
    <phoneticPr fontId="6"/>
  </si>
  <si>
    <t>組織ID,</t>
    <phoneticPr fontId="6"/>
  </si>
  <si>
    <t>拠点ID,</t>
    <phoneticPr fontId="6"/>
  </si>
  <si>
    <t>insert into 30分値の生データ情報 (</t>
    <phoneticPr fontId="6"/>
  </si>
  <si>
    <t>お客さま名,</t>
    <phoneticPr fontId="6"/>
  </si>
  <si>
    <t>建物名,</t>
    <phoneticPr fontId="6"/>
  </si>
  <si>
    <t>EPお客さま番号,</t>
    <phoneticPr fontId="6"/>
  </si>
  <si>
    <t>供給地点特定番号,</t>
    <phoneticPr fontId="6"/>
  </si>
  <si>
    <t>企業ID,</t>
    <rPh sb="0" eb="2">
      <t>キギョウ</t>
    </rPh>
    <phoneticPr fontId="13"/>
  </si>
  <si>
    <t>欠測時間帯_件数,</t>
    <phoneticPr fontId="6"/>
  </si>
  <si>
    <t>不正値時間帯_件数,</t>
    <phoneticPr fontId="6"/>
  </si>
  <si>
    <t>取得_年月日,</t>
    <phoneticPr fontId="6"/>
  </si>
  <si>
    <t>V30分_使用_電力量_1,</t>
    <phoneticPr fontId="6"/>
  </si>
  <si>
    <t>V30分_使用_電力量_2,</t>
    <phoneticPr fontId="6"/>
  </si>
  <si>
    <t>V30分_使用_電力量_3,</t>
    <phoneticPr fontId="6"/>
  </si>
  <si>
    <t>V30分_使用_電力量_4,</t>
    <phoneticPr fontId="6"/>
  </si>
  <si>
    <t>V30分_使用_電力量_5,</t>
    <phoneticPr fontId="6"/>
  </si>
  <si>
    <t>V30分_使用_電力量_6,</t>
    <phoneticPr fontId="6"/>
  </si>
  <si>
    <t>V30分_使用_電力量_7,</t>
    <phoneticPr fontId="6"/>
  </si>
  <si>
    <t>V30分_使用_電力量_8,</t>
    <phoneticPr fontId="6"/>
  </si>
  <si>
    <t>V30分_使用_電力量_9,</t>
    <phoneticPr fontId="6"/>
  </si>
  <si>
    <t>V30分_使用_電力量_10,</t>
    <phoneticPr fontId="6"/>
  </si>
  <si>
    <t>V30分_使用_電力量_11,</t>
    <phoneticPr fontId="6"/>
  </si>
  <si>
    <t>V30分_使用_電力量_12,</t>
    <phoneticPr fontId="6"/>
  </si>
  <si>
    <t>V30分_使用_電力量_13,</t>
    <phoneticPr fontId="6"/>
  </si>
  <si>
    <t>V30分_使用_電力量_14,</t>
    <phoneticPr fontId="6"/>
  </si>
  <si>
    <t>V30分_使用_電力量_15,</t>
    <phoneticPr fontId="6"/>
  </si>
  <si>
    <t>V30分_使用_電力量_16,</t>
    <phoneticPr fontId="6"/>
  </si>
  <si>
    <t>V30分_使用_電力量_17,</t>
    <phoneticPr fontId="6"/>
  </si>
  <si>
    <t>V30分_使用_電力量_18,</t>
    <phoneticPr fontId="6"/>
  </si>
  <si>
    <t>V30分_使用_電力量_19,</t>
    <phoneticPr fontId="6"/>
  </si>
  <si>
    <t>V30分_使用_電力量_20,</t>
    <phoneticPr fontId="6"/>
  </si>
  <si>
    <t>V30分_使用_電力量_21,</t>
    <phoneticPr fontId="6"/>
  </si>
  <si>
    <t>V30分_使用_電力量_22,</t>
    <phoneticPr fontId="6"/>
  </si>
  <si>
    <t>V30分_使用_電力量_23,</t>
    <phoneticPr fontId="6"/>
  </si>
  <si>
    <t>V30分_使用_電力量_24,</t>
    <phoneticPr fontId="6"/>
  </si>
  <si>
    <t>V30分_使用_電力量_25,</t>
    <phoneticPr fontId="6"/>
  </si>
  <si>
    <t>V30分_使用_電力量_26,</t>
    <phoneticPr fontId="6"/>
  </si>
  <si>
    <t>V30分_使用_電力量_27,</t>
    <phoneticPr fontId="6"/>
  </si>
  <si>
    <t>V30分_使用_電力量_28,</t>
    <phoneticPr fontId="6"/>
  </si>
  <si>
    <t>V30分_使用_電力量_29,</t>
    <phoneticPr fontId="6"/>
  </si>
  <si>
    <t>V30分_使用_電力量_30,</t>
    <phoneticPr fontId="6"/>
  </si>
  <si>
    <t>V30分_使用_電力量_31,</t>
    <phoneticPr fontId="6"/>
  </si>
  <si>
    <t>V30分_使用_電力量_32,</t>
    <phoneticPr fontId="6"/>
  </si>
  <si>
    <t>V30分_使用_電力量_33,</t>
    <phoneticPr fontId="6"/>
  </si>
  <si>
    <t>V30分_使用_電力量_34,</t>
    <phoneticPr fontId="6"/>
  </si>
  <si>
    <t>V30分_使用_電力量_35,</t>
    <phoneticPr fontId="6"/>
  </si>
  <si>
    <t>V30分_使用_電力量_36,</t>
    <phoneticPr fontId="6"/>
  </si>
  <si>
    <t>V30分_使用_電力量_37,</t>
    <phoneticPr fontId="6"/>
  </si>
  <si>
    <t>V30分_使用_電力量_38,</t>
    <phoneticPr fontId="6"/>
  </si>
  <si>
    <t>V30分_使用_電力量_39,</t>
    <phoneticPr fontId="6"/>
  </si>
  <si>
    <t>V30分_使用_電力量_40,</t>
    <phoneticPr fontId="6"/>
  </si>
  <si>
    <t>V30分_使用_電力量_41,</t>
    <phoneticPr fontId="6"/>
  </si>
  <si>
    <t>V30分_使用_電力量_42,</t>
    <phoneticPr fontId="6"/>
  </si>
  <si>
    <t>V30分_使用_電力量_43,</t>
    <phoneticPr fontId="6"/>
  </si>
  <si>
    <t>V30分_使用_電力量_44,</t>
    <phoneticPr fontId="6"/>
  </si>
  <si>
    <t>V30分_使用_電力量_45,</t>
    <phoneticPr fontId="6"/>
  </si>
  <si>
    <t>V30分_使用_電力量_46,</t>
    <phoneticPr fontId="6"/>
  </si>
  <si>
    <t>V30分_使用_電力量_47,</t>
    <phoneticPr fontId="6"/>
  </si>
  <si>
    <t>V30分_使用_電力量_48,</t>
    <phoneticPr fontId="6"/>
  </si>
  <si>
    <t>削除フラグ,</t>
    <phoneticPr fontId="6"/>
  </si>
  <si>
    <t>作成者,</t>
    <rPh sb="0" eb="2">
      <t>サクセイ</t>
    </rPh>
    <phoneticPr fontId="13"/>
  </si>
  <si>
    <t>作成日時,</t>
    <rPh sb="0" eb="2">
      <t>サクセイ</t>
    </rPh>
    <phoneticPr fontId="13"/>
  </si>
  <si>
    <t>更新者,</t>
    <phoneticPr fontId="6"/>
  </si>
  <si>
    <t>更新日時,</t>
    <phoneticPr fontId="6"/>
  </si>
  <si>
    <t>ファイル更新日時,</t>
    <phoneticPr fontId="6"/>
  </si>
  <si>
    <t>ARVE連携お客さま名,</t>
    <rPh sb="4" eb="6">
      <t>レンケイ</t>
    </rPh>
    <rPh sb="10" eb="11">
      <t>メイ</t>
    </rPh>
    <phoneticPr fontId="11"/>
  </si>
  <si>
    <t>ARVE連携お客さま番号,</t>
    <rPh sb="4" eb="6">
      <t>レンケイ</t>
    </rPh>
    <rPh sb="10" eb="12">
      <t>バンゴウ</t>
    </rPh>
    <phoneticPr fontId="11"/>
  </si>
  <si>
    <t>ARVE連携事業所コード)</t>
    <rPh sb="4" eb="6">
      <t>レンケイ</t>
    </rPh>
    <phoneticPr fontId="11"/>
  </si>
  <si>
    <t>Select 建物マスタ.法人番号,</t>
    <phoneticPr fontId="6"/>
  </si>
  <si>
    <t>建物マスタ.同意書取得区分,</t>
    <rPh sb="5" eb="8">
      <t>ドウイショ</t>
    </rPh>
    <rPh sb="8" eb="10">
      <t>シュトク</t>
    </rPh>
    <rPh sb="10" eb="12">
      <t>クブン</t>
    </rPh>
    <phoneticPr fontId="6"/>
  </si>
  <si>
    <t>建物マスタ.組織ID,</t>
    <rPh sb="5" eb="7">
      <t>ソシキ</t>
    </rPh>
    <phoneticPr fontId="6"/>
  </si>
  <si>
    <t>建物マスタ.拠点ID,</t>
    <rPh sb="5" eb="7">
      <t>キョテン</t>
    </rPh>
    <phoneticPr fontId="6"/>
  </si>
  <si>
    <t>建物マスタ.EPお客さま番号,</t>
    <rPh sb="8" eb="9">
      <t>キャク</t>
    </rPh>
    <rPh sb="11" eb="13">
      <t>バンゴウ</t>
    </rPh>
    <phoneticPr fontId="6"/>
  </si>
  <si>
    <t>EPデータ参照基盤データ30分値.供給地点特定番号,</t>
    <rPh sb="16" eb="22">
      <t>キョウキュウチテントクテイ</t>
    </rPh>
    <rPh sb="22" eb="24">
      <t>バンゴウ</t>
    </rPh>
    <phoneticPr fontId="6"/>
  </si>
  <si>
    <t>ARVEお客さま情報.企業ID,</t>
    <rPh sb="9" eb="11">
      <t>キギョウ</t>
    </rPh>
    <phoneticPr fontId="6"/>
  </si>
  <si>
    <t>EPデータ参照基盤データ30分値.取得_年月日,</t>
    <rPh sb="16" eb="18">
      <t>シュトク</t>
    </rPh>
    <rPh sb="19" eb="22">
      <t>ネンガッピ</t>
    </rPh>
    <phoneticPr fontId="6"/>
  </si>
  <si>
    <t>"FALSE",</t>
    <phoneticPr fontId="6"/>
  </si>
  <si>
    <t>ARVEお客さま情報.契約場所_名義(姓)＿契約場所_名義(名),</t>
    <phoneticPr fontId="6"/>
  </si>
  <si>
    <t>substring(ARVEお客さま情報.EPお客さま番号, 4, length(ARVEお客さま情報.EPお客さま番号)),</t>
    <phoneticPr fontId="6"/>
  </si>
  <si>
    <t>ON CONFLICT (法人番号, 同意書取得区分, 組織ID, 拠点ID, 供給地点特定番号, 取得_年月日)</t>
    <phoneticPr fontId="6"/>
  </si>
  <si>
    <t xml:space="preserve">SELECT 30分値取込管理.供給地点特定番号, </t>
    <phoneticPr fontId="6"/>
  </si>
  <si>
    <t>FROM 30分値取込管理</t>
    <phoneticPr fontId="6"/>
  </si>
  <si>
    <t>INNER JOIN 30分値取込管理.供給地点特定番号 = 建物マスタ.供給地点特定番号
建物マスタ.削除フラグ = False</t>
    <phoneticPr fontId="6"/>
  </si>
  <si>
    <t xml:space="preserve"> on 30分値取込管理.供給地点特定番号 = 建物マスタ.供給地点特定番号　AND</t>
    <phoneticPr fontId="6"/>
  </si>
  <si>
    <t>建物マスタ.削除フラグ = False</t>
    <phoneticPr fontId="6"/>
  </si>
  <si>
    <t>LMMRCR05-04</t>
    <phoneticPr fontId="6"/>
  </si>
  <si>
    <t>TDVデータ取得</t>
    <phoneticPr fontId="6"/>
  </si>
  <si>
    <t>DO UPDATE SET</t>
    <phoneticPr fontId="6"/>
  </si>
  <si>
    <t>法人番号 = EXCLUDED.法人番号,</t>
  </si>
  <si>
    <t>同意書取得区分 = EXCLUDED.同意書取得区分,</t>
  </si>
  <si>
    <t>組織ID = EXCLUDED.組織ID,</t>
  </si>
  <si>
    <t>拠点ID = EXCLUDED.拠点ID,</t>
  </si>
  <si>
    <t>建物名 = EXCLUDED.建物名,</t>
  </si>
  <si>
    <t>EPお客さま番号 = EXCLUDED.EPお客さま番号,</t>
  </si>
  <si>
    <t>供給地点特定番号 = EXCLUDED.供給地点特定番号,</t>
  </si>
  <si>
    <t>企業ID = EXCLUDED.企業ID,</t>
  </si>
  <si>
    <t>取得_年月日 = EXCLUDED.取得_年月日,</t>
  </si>
  <si>
    <t>削除フラグ = "FALSE",</t>
    <phoneticPr fontId="6"/>
  </si>
  <si>
    <t>ファイル更新日時 = "",</t>
    <phoneticPr fontId="6"/>
  </si>
  <si>
    <t>ARVE連携お客さま名 = EXCLUDED.契約場所_名義(姓)＿契約場所_名義(名),</t>
    <phoneticPr fontId="6"/>
  </si>
  <si>
    <t>ARVE連携お客さま番号 = substring(EXCLUDED.EPお客さま番号, 4, length(EXCLUDED.EPお客さま番号)),</t>
    <phoneticPr fontId="6"/>
  </si>
  <si>
    <t>LEFT(ARVEお客さま情報.EPお客さま番号, 3)</t>
    <phoneticPr fontId="6"/>
  </si>
  <si>
    <t>ARVE連携事業所コード = LEFT(EXCLUDED.EPお客さま番号, 3);</t>
    <phoneticPr fontId="6"/>
  </si>
  <si>
    <t>備考</t>
    <rPh sb="0" eb="2">
      <t>ビコウ</t>
    </rPh>
    <phoneticPr fontId="6"/>
  </si>
  <si>
    <t>処理プロセス名</t>
    <rPh sb="0" eb="2">
      <t>ショリ</t>
    </rPh>
    <rPh sb="6" eb="7">
      <t>メイ</t>
    </rPh>
    <phoneticPr fontId="6"/>
  </si>
  <si>
    <t>30分値の生データ情報</t>
    <phoneticPr fontId="7"/>
  </si>
  <si>
    <t>ー</t>
    <phoneticPr fontId="6"/>
  </si>
  <si>
    <t>30分値取込管理.供給地点特定番号</t>
    <rPh sb="4" eb="6">
      <t>トリコミ</t>
    </rPh>
    <rPh sb="9" eb="11">
      <t>キョウキュウ</t>
    </rPh>
    <rPh sb="11" eb="13">
      <t>チテン</t>
    </rPh>
    <rPh sb="13" eb="15">
      <t>トクテイ</t>
    </rPh>
    <rPh sb="15" eb="17">
      <t>バンゴウ</t>
    </rPh>
    <phoneticPr fontId="1"/>
  </si>
  <si>
    <t>建物マスタ</t>
    <rPh sb="0" eb="2">
      <t>タテモノ</t>
    </rPh>
    <phoneticPr fontId="7"/>
  </si>
  <si>
    <t>30分値の生データ情報テーブルにすでに登録されていた場合は上書きを行う</t>
  </si>
  <si>
    <t>UPSERT</t>
    <phoneticPr fontId="7"/>
  </si>
  <si>
    <t>処理対象更新</t>
    <rPh sb="0" eb="2">
      <t>ショリ</t>
    </rPh>
    <rPh sb="2" eb="4">
      <t>タイショウ</t>
    </rPh>
    <rPh sb="4" eb="6">
      <t>コウシン</t>
    </rPh>
    <phoneticPr fontId="7"/>
  </si>
  <si>
    <t>UPDATE</t>
    <phoneticPr fontId="7"/>
  </si>
  <si>
    <t>データ項目更新仕様説明書No.3参照</t>
    <rPh sb="3" eb="12">
      <t>コウモクコウシンシヨウセツメイショ</t>
    </rPh>
    <rPh sb="16" eb="18">
      <t>サンショウ</t>
    </rPh>
    <phoneticPr fontId="6"/>
  </si>
  <si>
    <t>30分値取込管理.供給地点特定番号 = 取込完了した供給地点特定番号</t>
    <rPh sb="20" eb="22">
      <t>トリコミ</t>
    </rPh>
    <rPh sb="22" eb="24">
      <t>カンリョウ</t>
    </rPh>
    <phoneticPr fontId="6"/>
  </si>
  <si>
    <t>UPDATE 30分値取込管理</t>
    <phoneticPr fontId="6"/>
  </si>
  <si>
    <t>更新日時</t>
    <phoneticPr fontId="6"/>
  </si>
  <si>
    <t>更新日時 = 現在日時,</t>
    <rPh sb="7" eb="9">
      <t>ゲンザイ</t>
    </rPh>
    <rPh sb="9" eb="11">
      <t>ニチジ</t>
    </rPh>
    <phoneticPr fontId="6"/>
  </si>
  <si>
    <t>現在日時</t>
    <rPh sb="0" eb="4">
      <t>ゲンザイニチジ</t>
    </rPh>
    <phoneticPr fontId="6"/>
  </si>
  <si>
    <t>更新者</t>
    <phoneticPr fontId="6"/>
  </si>
  <si>
    <t>更新日時 = 現在日時</t>
    <phoneticPr fontId="6"/>
  </si>
  <si>
    <t>WHERE 30分値取込管理.供給地点特定番号 = 取込完了した供給地点特定番号</t>
    <phoneticPr fontId="6"/>
  </si>
  <si>
    <t>WHERE 30分値取込管理.状態 = "3” AND</t>
    <phoneticPr fontId="6"/>
  </si>
  <si>
    <t>紐付け日時</t>
  </si>
  <si>
    <t>現在日時</t>
  </si>
  <si>
    <t>SET 紐付け日時 = 現在日時,</t>
  </si>
  <si>
    <t>30分値取込管理.紐付け日時 IS NULL</t>
  </si>
  <si>
    <t>30分値取込管理.紐付け日時 IS NULL</t>
    <phoneticPr fontId="6"/>
  </si>
  <si>
    <t>データ項目更新仕様説明書No.4参照</t>
    <rPh sb="3" eb="12">
      <t>コウモクコウシンシヨウセツメイショ</t>
    </rPh>
    <rPh sb="16" eb="18">
      <t>サンショウ</t>
    </rPh>
    <phoneticPr fontId="6"/>
  </si>
  <si>
    <t>１．バッチ実行年月日取得</t>
    <rPh sb="5" eb="10">
      <t>ジッコウネンガッピ</t>
    </rPh>
    <rPh sb="10" eb="12">
      <t>シュトク</t>
    </rPh>
    <phoneticPr fontId="6"/>
  </si>
  <si>
    <t>※データ項目更新仕様説明書No.1参照</t>
    <rPh sb="17" eb="19">
      <t>サンショウ</t>
    </rPh>
    <phoneticPr fontId="6"/>
  </si>
  <si>
    <t>２．30分値取込管理から連携対象を取得</t>
    <rPh sb="8" eb="10">
      <t>カンリ</t>
    </rPh>
    <rPh sb="17" eb="19">
      <t>シュトク</t>
    </rPh>
    <phoneticPr fontId="7"/>
  </si>
  <si>
    <t>４．30分値取込管理更新</t>
    <rPh sb="4" eb="5">
      <t>フン</t>
    </rPh>
    <rPh sb="5" eb="6">
      <t>アタイ</t>
    </rPh>
    <rPh sb="6" eb="8">
      <t>トリコミ</t>
    </rPh>
    <rPh sb="8" eb="10">
      <t>カンリ</t>
    </rPh>
    <rPh sb="10" eb="12">
      <t>コウシン</t>
    </rPh>
    <phoneticPr fontId="7"/>
  </si>
  <si>
    <t>３．LecMoc30分値自動登録</t>
    <rPh sb="10" eb="12">
      <t>プンチ</t>
    </rPh>
    <rPh sb="12" eb="16">
      <t>ジドウトウロク</t>
    </rPh>
    <phoneticPr fontId="7"/>
  </si>
  <si>
    <t>５．正常終了</t>
    <rPh sb="2" eb="6">
      <t>セイジョウシュウリョウ</t>
    </rPh>
    <phoneticPr fontId="7"/>
  </si>
  <si>
    <t>現在日時,</t>
    <rPh sb="0" eb="2">
      <t>ゲンザイ</t>
    </rPh>
    <rPh sb="2" eb="4">
      <t>ニチジ</t>
    </rPh>
    <phoneticPr fontId="6"/>
  </si>
  <si>
    <t>現在日時</t>
    <rPh sb="0" eb="2">
      <t>ゲンザイ</t>
    </rPh>
    <rPh sb="2" eb="4">
      <t>ニチジ</t>
    </rPh>
    <phoneticPr fontId="6"/>
  </si>
  <si>
    <t>３で連携したデータに紐づく、30分値取込管理テーブルのレコードを更新する。</t>
    <rPh sb="1" eb="3">
      <t>レンケイ</t>
    </rPh>
    <rPh sb="10" eb="11">
      <t>ヒモ</t>
    </rPh>
    <rPh sb="32" eb="34">
      <t>コウシン</t>
    </rPh>
    <phoneticPr fontId="6"/>
  </si>
  <si>
    <t>UPDATE時</t>
    <rPh sb="6" eb="7">
      <t>ジ</t>
    </rPh>
    <phoneticPr fontId="6"/>
  </si>
  <si>
    <t>LOOP</t>
    <phoneticPr fontId="6"/>
  </si>
  <si>
    <t>※Exception発生時は、後続処理をSKIPして「５．終了」へ</t>
    <rPh sb="10" eb="13">
      <t>ハッセイジ</t>
    </rPh>
    <rPh sb="15" eb="19">
      <t>コウゾクショリ</t>
    </rPh>
    <phoneticPr fontId="6"/>
  </si>
  <si>
    <t>全プロセス</t>
    <phoneticPr fontId="6"/>
  </si>
  <si>
    <t>異常</t>
    <rPh sb="0" eb="2">
      <t>イジョウ</t>
    </rPh>
    <phoneticPr fontId="7"/>
  </si>
  <si>
    <t>Exception発生時</t>
    <rPh sb="9" eb="12">
      <t>ハッセイジ</t>
    </rPh>
    <phoneticPr fontId="6"/>
  </si>
  <si>
    <t>トランザクション範囲内：有</t>
    <rPh sb="8" eb="11">
      <t>ハンイナイ</t>
    </rPh>
    <rPh sb="12" eb="13">
      <t>アリ</t>
    </rPh>
    <phoneticPr fontId="6"/>
  </si>
  <si>
    <t>以下終了条件を満たすまでループ</t>
    <rPh sb="0" eb="2">
      <t>イカ</t>
    </rPh>
    <rPh sb="2" eb="6">
      <t>シュウリョウジョウケン</t>
    </rPh>
    <rPh sb="7" eb="8">
      <t>ミ</t>
    </rPh>
    <phoneticPr fontId="6"/>
  </si>
  <si>
    <t>(1)30分値取込管理テーブルで移行完了かつ、30分値の生データ情報テーブルと紐付けられていないデータを紐付け対象として取得する。</t>
    <rPh sb="5" eb="7">
      <t>フンアタイ</t>
    </rPh>
    <rPh sb="7" eb="9">
      <t>トリコミ</t>
    </rPh>
    <rPh sb="9" eb="11">
      <t>カンリ</t>
    </rPh>
    <rPh sb="16" eb="20">
      <t>イコウカンリョウ</t>
    </rPh>
    <rPh sb="25" eb="27">
      <t>フンアタイ</t>
    </rPh>
    <rPh sb="28" eb="29">
      <t>ナマ</t>
    </rPh>
    <rPh sb="32" eb="34">
      <t>ジョウホウ</t>
    </rPh>
    <rPh sb="39" eb="41">
      <t>ヒモヅ</t>
    </rPh>
    <rPh sb="52" eb="53">
      <t>ヒモ</t>
    </rPh>
    <rPh sb="53" eb="54">
      <t>ツ</t>
    </rPh>
    <rPh sb="55" eb="57">
      <t>タイショウ</t>
    </rPh>
    <rPh sb="60" eb="62">
      <t>シュトク</t>
    </rPh>
    <phoneticPr fontId="7"/>
  </si>
  <si>
    <t>・30分値取込管理の紐付け対象が存在しない。</t>
    <rPh sb="3" eb="5">
      <t>フンアタイ</t>
    </rPh>
    <rPh sb="5" eb="7">
      <t>トリコミ</t>
    </rPh>
    <rPh sb="7" eb="9">
      <t>カンリ</t>
    </rPh>
    <rPh sb="10" eb="11">
      <t>ヒモ</t>
    </rPh>
    <rPh sb="11" eb="12">
      <t>ヅ</t>
    </rPh>
    <rPh sb="13" eb="15">
      <t>タイショウ</t>
    </rPh>
    <rPh sb="16" eb="18">
      <t>ソンザイ</t>
    </rPh>
    <phoneticPr fontId="6"/>
  </si>
  <si>
    <t>CAST(EPデータ参照基盤データ30分値.欠測時間帯_件数, INTEGER)</t>
    <rPh sb="21" eb="26">
      <t>ケッソクジカンタイ</t>
    </rPh>
    <rPh sb="27" eb="29">
      <t>ケンスウ</t>
    </rPh>
    <phoneticPr fontId="6"/>
  </si>
  <si>
    <t>CAST(EPデータ参照基盤データ30分値.不正値時間帯_件数, INTEGER)</t>
    <phoneticPr fontId="6"/>
  </si>
  <si>
    <t>CAST(EPデータ参照基盤データ30分値.V30分_使用_電力量_1, NUMERIC)</t>
  </si>
  <si>
    <t>CAST(EPデータ参照基盤データ30分値.V30分_使用_電力量_2, NUMERIC)</t>
  </si>
  <si>
    <t>CAST(EPデータ参照基盤データ30分値.V30分_使用_電力量_3, NUMERIC)</t>
  </si>
  <si>
    <t>CAST(EPデータ参照基盤データ30分値.V30分_使用_電力量_4, NUMERIC)</t>
  </si>
  <si>
    <t>CAST(EPデータ参照基盤データ30分値.V30分_使用_電力量_5, NUMERIC)</t>
  </si>
  <si>
    <t>CAST(EPデータ参照基盤データ30分値.V30分_使用_電力量_6, NUMERIC)</t>
  </si>
  <si>
    <t>CAST(EPデータ参照基盤データ30分値.V30分_使用_電力量_7, NUMERIC)</t>
  </si>
  <si>
    <t>CAST(EPデータ参照基盤データ30分値.V30分_使用_電力量_8, NUMERIC)</t>
  </si>
  <si>
    <t>CAST(EPデータ参照基盤データ30分値.V30分_使用_電力量_9, NUMERIC)</t>
  </si>
  <si>
    <t>CAST(EPデータ参照基盤データ30分値.V30分_使用_電力量_10, NUMERIC)</t>
  </si>
  <si>
    <t>CAST(EPデータ参照基盤データ30分値.V30分_使用_電力量_11, NUMERIC)</t>
  </si>
  <si>
    <t>CAST(EPデータ参照基盤データ30分値.V30分_使用_電力量_12, NUMERIC)</t>
  </si>
  <si>
    <t>CAST(EPデータ参照基盤データ30分値.V30分_使用_電力量_13, NUMERIC)</t>
  </si>
  <si>
    <t>CAST(EPデータ参照基盤データ30分値.V30分_使用_電力量_14, NUMERIC)</t>
  </si>
  <si>
    <t>CAST(EPデータ参照基盤データ30分値.V30分_使用_電力量_15, NUMERIC)</t>
  </si>
  <si>
    <t>CAST(EPデータ参照基盤データ30分値.V30分_使用_電力量_16, NUMERIC)</t>
  </si>
  <si>
    <t>CAST(EPデータ参照基盤データ30分値.V30分_使用_電力量_17, NUMERIC)</t>
  </si>
  <si>
    <t>CAST(EPデータ参照基盤データ30分値.V30分_使用_電力量_18, NUMERIC)</t>
  </si>
  <si>
    <t>CAST(EPデータ参照基盤データ30分値.V30分_使用_電力量_19, NUMERIC)</t>
  </si>
  <si>
    <t>CAST(EPデータ参照基盤データ30分値.V30分_使用_電力量_20, NUMERIC)</t>
  </si>
  <si>
    <t>CAST(EPデータ参照基盤データ30分値.V30分_使用_電力量_21, NUMERIC)</t>
  </si>
  <si>
    <t>CAST(EPデータ参照基盤データ30分値.V30分_使用_電力量_22, NUMERIC)</t>
  </si>
  <si>
    <t>CAST(EPデータ参照基盤データ30分値.V30分_使用_電力量_23, NUMERIC)</t>
  </si>
  <si>
    <t>CAST(EPデータ参照基盤データ30分値.V30分_使用_電力量_24, NUMERIC)</t>
  </si>
  <si>
    <t>CAST(EPデータ参照基盤データ30分値.V30分_使用_電力量_25, NUMERIC)</t>
  </si>
  <si>
    <t>CAST(EPデータ参照基盤データ30分値.V30分_使用_電力量_26, NUMERIC)</t>
  </si>
  <si>
    <t>CAST(EPデータ参照基盤データ30分値.V30分_使用_電力量_27, NUMERIC)</t>
  </si>
  <si>
    <t>CAST(EPデータ参照基盤データ30分値.V30分_使用_電力量_28, NUMERIC)</t>
  </si>
  <si>
    <t>CAST(EPデータ参照基盤データ30分値.V30分_使用_電力量_29, NUMERIC)</t>
  </si>
  <si>
    <t>CAST(EPデータ参照基盤データ30分値.V30分_使用_電力量_30, NUMERIC)</t>
  </si>
  <si>
    <t>CAST(EPデータ参照基盤データ30分値.V30分_使用_電力量_31, NUMERIC)</t>
  </si>
  <si>
    <t>CAST(EPデータ参照基盤データ30分値.V30分_使用_電力量_32, NUMERIC)</t>
  </si>
  <si>
    <t>CAST(EPデータ参照基盤データ30分値.V30分_使用_電力量_33, NUMERIC)</t>
  </si>
  <si>
    <t>CAST(EPデータ参照基盤データ30分値.V30分_使用_電力量_34, NUMERIC)</t>
  </si>
  <si>
    <t>CAST(EPデータ参照基盤データ30分値.V30分_使用_電力量_35, NUMERIC)</t>
  </si>
  <si>
    <t>CAST(EPデータ参照基盤データ30分値.V30分_使用_電力量_36, NUMERIC)</t>
  </si>
  <si>
    <t>CAST(EPデータ参照基盤データ30分値.V30分_使用_電力量_37, NUMERIC)</t>
  </si>
  <si>
    <t>CAST(EPデータ参照基盤データ30分値.V30分_使用_電力量_39, NUMERIC)</t>
  </si>
  <si>
    <t>CAST(EPデータ参照基盤データ30分値.V30分_使用_電力量_40, NUMERIC)</t>
  </si>
  <si>
    <t>CAST(EPデータ参照基盤データ30分値.V30分_使用_電力量_41, NUMERIC)</t>
  </si>
  <si>
    <t>CAST(EPデータ参照基盤データ30分値.V30分_使用_電力量_42, NUMERIC)</t>
  </si>
  <si>
    <t>CAST(EPデータ参照基盤データ30分値.V30分_使用_電力量_43, NUMERIC)</t>
  </si>
  <si>
    <t>CAST(EPデータ参照基盤データ30分値.V30分_使用_電力量_44, NUMERIC)</t>
  </si>
  <si>
    <t>CAST(EPデータ参照基盤データ30分値.V30分_使用_電力量_45, NUMERIC)</t>
  </si>
  <si>
    <t>CAST(EPデータ参照基盤データ30分値.V30分_使用_電力量_46, NUMERIC)</t>
  </si>
  <si>
    <t>CAST(EPデータ参照基盤データ30分値.V30分_使用_電力量_47, NUMERIC)</t>
  </si>
  <si>
    <t>CAST(EPデータ参照基盤データ30分値.V30分_使用_電力量_48, NUMERIC)</t>
  </si>
  <si>
    <t>企業基本情報マスタ.企業名</t>
    <rPh sb="0" eb="2">
      <t>キギョウ</t>
    </rPh>
    <rPh sb="2" eb="4">
      <t>キホン</t>
    </rPh>
    <rPh sb="4" eb="6">
      <t>ジョウホウ</t>
    </rPh>
    <rPh sb="10" eb="12">
      <t>キギョウ</t>
    </rPh>
    <rPh sb="12" eb="13">
      <t>メイ</t>
    </rPh>
    <phoneticPr fontId="6"/>
  </si>
  <si>
    <t>企業基本情報マスタ</t>
    <phoneticPr fontId="7"/>
  </si>
  <si>
    <t>CAST(EPデータ参照基盤データ30分値.V30分_使用_電力量_38, NUMERIC)</t>
    <phoneticPr fontId="6"/>
  </si>
  <si>
    <t>EPデータ参照基盤データ30分値</t>
    <phoneticPr fontId="7"/>
  </si>
  <si>
    <t>ARVEお客さま情報</t>
    <phoneticPr fontId="7"/>
  </si>
  <si>
    <t>30分値取込管理</t>
    <phoneticPr fontId="7"/>
  </si>
  <si>
    <t>建物マスタ.法人番号 = 企業基本情報マスタ.法人番号</t>
    <rPh sb="6" eb="10">
      <t>ホウジンバンゴウ</t>
    </rPh>
    <rPh sb="23" eb="27">
      <t>ホウジンバンゴウ</t>
    </rPh>
    <phoneticPr fontId="6"/>
  </si>
  <si>
    <t>CAST(EPデータ参照基盤データ30分値.V30分_使用_電力量_1, NUMERIC),</t>
  </si>
  <si>
    <t>CAST(EPデータ参照基盤データ30分値.V30分_使用_電力量_2, NUMERIC),</t>
  </si>
  <si>
    <t>CAST(EPデータ参照基盤データ30分値.V30分_使用_電力量_3, NUMERIC),</t>
  </si>
  <si>
    <t>CAST(EPデータ参照基盤データ30分値.V30分_使用_電力量_4, NUMERIC),</t>
  </si>
  <si>
    <t>CAST(EPデータ参照基盤データ30分値.V30分_使用_電力量_5, NUMERIC),</t>
  </si>
  <si>
    <t>CAST(EPデータ参照基盤データ30分値.V30分_使用_電力量_6, NUMERIC),</t>
  </si>
  <si>
    <t>CAST(EPデータ参照基盤データ30分値.V30分_使用_電力量_7, NUMERIC),</t>
  </si>
  <si>
    <t>CAST(EPデータ参照基盤データ30分値.V30分_使用_電力量_8, NUMERIC),</t>
  </si>
  <si>
    <t>CAST(EPデータ参照基盤データ30分値.V30分_使用_電力量_9, NUMERIC),</t>
  </si>
  <si>
    <t>CAST(EPデータ参照基盤データ30分値.V30分_使用_電力量_10, NUMERIC),</t>
  </si>
  <si>
    <t>CAST(EPデータ参照基盤データ30分値.V30分_使用_電力量_11, NUMERIC),</t>
  </si>
  <si>
    <t>CAST(EPデータ参照基盤データ30分値.V30分_使用_電力量_12, NUMERIC),</t>
  </si>
  <si>
    <t>CAST(EPデータ参照基盤データ30分値.V30分_使用_電力量_13, NUMERIC),</t>
  </si>
  <si>
    <t>CAST(EPデータ参照基盤データ30分値.V30分_使用_電力量_14, NUMERIC),</t>
  </si>
  <si>
    <t>CAST(EPデータ参照基盤データ30分値.V30分_使用_電力量_15, NUMERIC),</t>
  </si>
  <si>
    <t>CAST(EPデータ参照基盤データ30分値.V30分_使用_電力量_16, NUMERIC),</t>
  </si>
  <si>
    <t>CAST(EPデータ参照基盤データ30分値.V30分_使用_電力量_17, NUMERIC),</t>
  </si>
  <si>
    <t>CAST(EPデータ参照基盤データ30分値.V30分_使用_電力量_18, NUMERIC),</t>
  </si>
  <si>
    <t>CAST(EPデータ参照基盤データ30分値.V30分_使用_電力量_19, NUMERIC),</t>
  </si>
  <si>
    <t>CAST(EPデータ参照基盤データ30分値.V30分_使用_電力量_20, NUMERIC),</t>
  </si>
  <si>
    <t>CAST(EPデータ参照基盤データ30分値.V30分_使用_電力量_21, NUMERIC),</t>
  </si>
  <si>
    <t>CAST(EPデータ参照基盤データ30分値.V30分_使用_電力量_22, NUMERIC),</t>
  </si>
  <si>
    <t>CAST(EPデータ参照基盤データ30分値.V30分_使用_電力量_23, NUMERIC),</t>
  </si>
  <si>
    <t>CAST(EPデータ参照基盤データ30分値.V30分_使用_電力量_24, NUMERIC),</t>
  </si>
  <si>
    <t>CAST(EPデータ参照基盤データ30分値.V30分_使用_電力量_25, NUMERIC),</t>
  </si>
  <si>
    <t>CAST(EPデータ参照基盤データ30分値.V30分_使用_電力量_26, NUMERIC),</t>
  </si>
  <si>
    <t>CAST(EPデータ参照基盤データ30分値.V30分_使用_電力量_27, NUMERIC),</t>
  </si>
  <si>
    <t>CAST(EPデータ参照基盤データ30分値.V30分_使用_電力量_28, NUMERIC),</t>
  </si>
  <si>
    <t>CAST(EPデータ参照基盤データ30分値.V30分_使用_電力量_29, NUMERIC),</t>
  </si>
  <si>
    <t>CAST(EPデータ参照基盤データ30分値.V30分_使用_電力量_30, NUMERIC),</t>
  </si>
  <si>
    <t>CAST(EPデータ参照基盤データ30分値.V30分_使用_電力量_31, NUMERIC),</t>
  </si>
  <si>
    <t>CAST(EPデータ参照基盤データ30分値.V30分_使用_電力量_32, NUMERIC),</t>
  </si>
  <si>
    <t>CAST(EPデータ参照基盤データ30分値.V30分_使用_電力量_33, NUMERIC),</t>
  </si>
  <si>
    <t>CAST(EPデータ参照基盤データ30分値.V30分_使用_電力量_34, NUMERIC),</t>
  </si>
  <si>
    <t>CAST(EPデータ参照基盤データ30分値.V30分_使用_電力量_35, NUMERIC),</t>
  </si>
  <si>
    <t>CAST(EPデータ参照基盤データ30分値.V30分_使用_電力量_36, NUMERIC),</t>
  </si>
  <si>
    <t>CAST(EPデータ参照基盤データ30分値.V30分_使用_電力量_37, NUMERIC),</t>
  </si>
  <si>
    <t>CAST(EPデータ参照基盤データ30分値.V30分_使用_電力量_38, NUMERIC),</t>
  </si>
  <si>
    <t>CAST(EPデータ参照基盤データ30分値.V30分_使用_電力量_39, NUMERIC),</t>
  </si>
  <si>
    <t>CAST(EPデータ参照基盤データ30分値.V30分_使用_電力量_40, NUMERIC),</t>
  </si>
  <si>
    <t>CAST(EPデータ参照基盤データ30分値.V30分_使用_電力量_41, NUMERIC),</t>
  </si>
  <si>
    <t>CAST(EPデータ参照基盤データ30分値.V30分_使用_電力量_42, NUMERIC),</t>
  </si>
  <si>
    <t>CAST(EPデータ参照基盤データ30分値.V30分_使用_電力量_43, NUMERIC),</t>
  </si>
  <si>
    <t>CAST(EPデータ参照基盤データ30分値.V30分_使用_電力量_44, NUMERIC),</t>
  </si>
  <si>
    <t>CAST(EPデータ参照基盤データ30分値.V30分_使用_電力量_45, NUMERIC),</t>
  </si>
  <si>
    <t>CAST(EPデータ参照基盤データ30分値.V30分_使用_電力量_46, NUMERIC),</t>
  </si>
  <si>
    <t>CAST(EPデータ参照基盤データ30分値.V30分_使用_電力量_47, NUMERIC),</t>
  </si>
  <si>
    <t>CAST(EPデータ参照基盤データ30分値.V30分_使用_電力量_48, NUMERIC),</t>
  </si>
  <si>
    <t>CAST(EPデータ参照基盤データ30分値.欠測時間帯_件数, INTEGER),</t>
    <rPh sb="21" eb="26">
      <t>ケッソクジカンタイ</t>
    </rPh>
    <rPh sb="27" eb="29">
      <t>ケンスウ</t>
    </rPh>
    <phoneticPr fontId="6"/>
  </si>
  <si>
    <t>CAST(EPデータ参照基盤データ30分値.不正値時間帯_件数, INTEGER),</t>
    <phoneticPr fontId="6"/>
  </si>
  <si>
    <t>企業基本情報マスタ.企業名,</t>
    <phoneticPr fontId="6"/>
  </si>
  <si>
    <t>時系列・パラメータ設定値整理</t>
    <rPh sb="0" eb="3">
      <t>ジケイレツ</t>
    </rPh>
    <rPh sb="9" eb="11">
      <t>セッテイ</t>
    </rPh>
    <rPh sb="11" eb="12">
      <t>チ</t>
    </rPh>
    <rPh sb="12" eb="14">
      <t>セイリ</t>
    </rPh>
    <phoneticPr fontId="6"/>
  </si>
  <si>
    <t>バッチは毎時稼働し、レポートの作成対象年月は以下の通り設定する。</t>
    <rPh sb="4" eb="6">
      <t>マイジ</t>
    </rPh>
    <rPh sb="5" eb="6">
      <t>マイマイ</t>
    </rPh>
    <rPh sb="6" eb="8">
      <t>カドウ</t>
    </rPh>
    <rPh sb="22" eb="24">
      <t>イカ</t>
    </rPh>
    <rPh sb="25" eb="26">
      <t>トオ</t>
    </rPh>
    <rPh sb="27" eb="29">
      <t>セッテイ</t>
    </rPh>
    <phoneticPr fontId="6"/>
  </si>
  <si>
    <t>データ管理TBLに対象データ未作成の対象データがなければ処理をスキップする。</t>
    <rPh sb="3" eb="5">
      <t>カンリ</t>
    </rPh>
    <rPh sb="9" eb="11">
      <t>タイショウ</t>
    </rPh>
    <rPh sb="14" eb="17">
      <t>ミサクセイ</t>
    </rPh>
    <rPh sb="18" eb="20">
      <t>タイショウ</t>
    </rPh>
    <rPh sb="28" eb="30">
      <t>ショリ</t>
    </rPh>
    <phoneticPr fontId="6"/>
  </si>
  <si>
    <t>基本空振りの想定</t>
    <rPh sb="0" eb="4">
      <t>キホンカラブ</t>
    </rPh>
    <rPh sb="6" eb="8">
      <t>ソウテイ</t>
    </rPh>
    <phoneticPr fontId="6"/>
  </si>
  <si>
    <t>要件のレポート作成期間</t>
    <rPh sb="0" eb="2">
      <t>ヨウケン</t>
    </rPh>
    <rPh sb="7" eb="9">
      <t>サクセイ</t>
    </rPh>
    <rPh sb="9" eb="11">
      <t>キカン</t>
    </rPh>
    <phoneticPr fontId="6"/>
  </si>
  <si>
    <t>（最終検針日）</t>
  </si>
  <si>
    <t>2026/5/1</t>
    <phoneticPr fontId="6"/>
  </si>
  <si>
    <t>2026/5/18</t>
    <phoneticPr fontId="6"/>
  </si>
  <si>
    <t>2026/5/19</t>
    <phoneticPr fontId="6"/>
  </si>
  <si>
    <t>2026/6/1</t>
    <phoneticPr fontId="6"/>
  </si>
  <si>
    <t>2026/6/18</t>
    <phoneticPr fontId="6"/>
  </si>
  <si>
    <t>2026/6/19</t>
    <phoneticPr fontId="6"/>
  </si>
  <si>
    <r>
      <t>作成対象年月：バッチ実行年月-</t>
    </r>
    <r>
      <rPr>
        <sz val="11"/>
        <color rgb="FFFF0000"/>
        <rFont val="游ゴシック"/>
        <family val="3"/>
        <charset val="128"/>
        <scheme val="minor"/>
      </rPr>
      <t>3</t>
    </r>
    <phoneticPr fontId="6"/>
  </si>
  <si>
    <r>
      <t>※2026/</t>
    </r>
    <r>
      <rPr>
        <sz val="11"/>
        <color rgb="FFFF0000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scheme val="minor"/>
      </rPr>
      <t>分</t>
    </r>
    <phoneticPr fontId="6"/>
  </si>
  <si>
    <r>
      <t>作成対象年月：バッチ実行年月-</t>
    </r>
    <r>
      <rPr>
        <sz val="11"/>
        <color rgb="FFFF0000"/>
        <rFont val="游ゴシック"/>
        <family val="3"/>
        <charset val="128"/>
        <scheme val="minor"/>
      </rPr>
      <t>2</t>
    </r>
    <phoneticPr fontId="6"/>
  </si>
  <si>
    <r>
      <t>※2026/</t>
    </r>
    <r>
      <rPr>
        <sz val="11"/>
        <color rgb="FFFF0000"/>
        <rFont val="游ゴシック"/>
        <family val="3"/>
        <charset val="128"/>
        <scheme val="minor"/>
      </rPr>
      <t>3</t>
    </r>
    <r>
      <rPr>
        <sz val="11"/>
        <color theme="1"/>
        <rFont val="游ゴシック"/>
        <family val="2"/>
        <scheme val="minor"/>
      </rPr>
      <t>分</t>
    </r>
    <phoneticPr fontId="6"/>
  </si>
  <si>
    <t>バッチ実行年月日取得</t>
    <rPh sb="3" eb="5">
      <t>ジッコウ</t>
    </rPh>
    <rPh sb="5" eb="8">
      <t>ネンガッピ</t>
    </rPh>
    <rPh sb="8" eb="10">
      <t>シュトク</t>
    </rPh>
    <phoneticPr fontId="7"/>
  </si>
  <si>
    <t>バッチ実行年月日</t>
    <rPh sb="2" eb="4">
      <t>ジッコウ</t>
    </rPh>
    <rPh sb="4" eb="7">
      <t>ネンガッピ</t>
    </rPh>
    <phoneticPr fontId="7"/>
  </si>
  <si>
    <t>バッチ実行時に取得</t>
    <rPh sb="2" eb="5">
      <t>ジッコウジ</t>
    </rPh>
    <rPh sb="6" eb="8">
      <t>シュトク</t>
    </rPh>
    <phoneticPr fontId="23"/>
  </si>
  <si>
    <t>バッチ実行時に設定
※【参考】バッチ年月仕様シート参照</t>
    <rPh sb="2" eb="4">
      <t>ジッコウ</t>
    </rPh>
    <rPh sb="4" eb="5">
      <t>ジ</t>
    </rPh>
    <rPh sb="7" eb="9">
      <t>セッテイ</t>
    </rPh>
    <rPh sb="12" eb="14">
      <t>サンコウ</t>
    </rPh>
    <rPh sb="18" eb="20">
      <t>ネンゲツ</t>
    </rPh>
    <rPh sb="20" eb="22">
      <t>シヨウ</t>
    </rPh>
    <rPh sb="25" eb="27">
      <t>サンショウ</t>
    </rPh>
    <phoneticPr fontId="6"/>
  </si>
  <si>
    <t>紐付け対象年月</t>
    <rPh sb="0" eb="2">
      <t>ヒモヅ</t>
    </rPh>
    <rPh sb="3" eb="5">
      <t>タイショウ</t>
    </rPh>
    <rPh sb="4" eb="6">
      <t>ネンゲツ</t>
    </rPh>
    <phoneticPr fontId="7"/>
  </si>
  <si>
    <t>バッチ実行者</t>
    <rPh sb="3" eb="6">
      <t>ジッコウシャ</t>
    </rPh>
    <phoneticPr fontId="6"/>
  </si>
  <si>
    <t>バッチ実行者,</t>
    <rPh sb="3" eb="6">
      <t>ジッコウシャ</t>
    </rPh>
    <phoneticPr fontId="6"/>
  </si>
  <si>
    <t>更新者 = バッチ実行者,</t>
    <phoneticPr fontId="6"/>
  </si>
  <si>
    <t>30分値取込管理.レポート作成対象年月 = 紐付け対象年月 AND</t>
    <phoneticPr fontId="6"/>
  </si>
  <si>
    <t>30分値取込管理.状態 = "3"（完了）
30分値取込管理.レポート作成対象年月 = 紐付け対象年月
30分値取込管理.紐付け日時 IS NULL</t>
    <phoneticPr fontId="6"/>
  </si>
  <si>
    <t>V30分_使用_電力量_2 = CAST(EXCLUDED.V30分_使用_電力量_2, NUMERIC),</t>
  </si>
  <si>
    <t>V30分_使用_電力量_3 = CAST(EXCLUDED.V30分_使用_電力量_3, NUMERIC),</t>
  </si>
  <si>
    <t>V30分_使用_電力量_4 = CAST(EXCLUDED.V30分_使用_電力量_4, NUMERIC),</t>
  </si>
  <si>
    <t>V30分_使用_電力量_5 = CAST(EXCLUDED.V30分_使用_電力量_5, NUMERIC),</t>
  </si>
  <si>
    <t>V30分_使用_電力量_6 = CAST(EXCLUDED.V30分_使用_電力量_6, NUMERIC),</t>
  </si>
  <si>
    <t>V30分_使用_電力量_7 = CAST(EXCLUDED.V30分_使用_電力量_7, NUMERIC),</t>
  </si>
  <si>
    <t>V30分_使用_電力量_8 = CAST(EXCLUDED.V30分_使用_電力量_8, NUMERIC),</t>
  </si>
  <si>
    <t>V30分_使用_電力量_9 = CAST(EXCLUDED.V30分_使用_電力量_9, NUMERIC),</t>
  </si>
  <si>
    <t>V30分_使用_電力量_10 = CAST(EXCLUDED.V30分_使用_電力量_10, NUMERIC),</t>
  </si>
  <si>
    <t>V30分_使用_電力量_11 = CAST(EXCLUDED.V30分_使用_電力量_11, NUMERIC),</t>
  </si>
  <si>
    <t>V30分_使用_電力量_12 = CAST(EXCLUDED.V30分_使用_電力量_12, NUMERIC),</t>
  </si>
  <si>
    <t>V30分_使用_電力量_13 = CAST(EXCLUDED.V30分_使用_電力量_13, NUMERIC),</t>
  </si>
  <si>
    <t>V30分_使用_電力量_14 = CAST(EXCLUDED.V30分_使用_電力量_14, NUMERIC),</t>
  </si>
  <si>
    <t>V30分_使用_電力量_15 = CAST(EXCLUDED.V30分_使用_電力量_15, NUMERIC),</t>
  </si>
  <si>
    <t>V30分_使用_電力量_16 = CAST(EXCLUDED.V30分_使用_電力量_16, NUMERIC),</t>
  </si>
  <si>
    <t>V30分_使用_電力量_17 = CAST(EXCLUDED.V30分_使用_電力量_17, NUMERIC),</t>
  </si>
  <si>
    <t>V30分_使用_電力量_18 = CAST(EXCLUDED.V30分_使用_電力量_18, NUMERIC),</t>
  </si>
  <si>
    <t>V30分_使用_電力量_19 = CAST(EXCLUDED.V30分_使用_電力量_19, NUMERIC),</t>
  </si>
  <si>
    <t>V30分_使用_電力量_20 = CAST(EXCLUDED.V30分_使用_電力量_20, NUMERIC),</t>
  </si>
  <si>
    <t>V30分_使用_電力量_21 = CAST(EXCLUDED.V30分_使用_電力量_21, NUMERIC),</t>
  </si>
  <si>
    <t>V30分_使用_電力量_22 = CAST(EXCLUDED.V30分_使用_電力量_22, NUMERIC),</t>
  </si>
  <si>
    <t>V30分_使用_電力量_23 = CAST(EXCLUDED.V30分_使用_電力量_23, NUMERIC),</t>
  </si>
  <si>
    <t>V30分_使用_電力量_24 = CAST(EXCLUDED.V30分_使用_電力量_24, NUMERIC),</t>
  </si>
  <si>
    <t>V30分_使用_電力量_25 = CAST(EXCLUDED.V30分_使用_電力量_25, NUMERIC),</t>
  </si>
  <si>
    <t>V30分_使用_電力量_26 = CAST(EXCLUDED.V30分_使用_電力量_26, NUMERIC),</t>
  </si>
  <si>
    <t>V30分_使用_電力量_27 = CAST(EXCLUDED.V30分_使用_電力量_27, NUMERIC),</t>
  </si>
  <si>
    <t>V30分_使用_電力量_28 = CAST(EXCLUDED.V30分_使用_電力量_28, NUMERIC),</t>
  </si>
  <si>
    <t>V30分_使用_電力量_29 = CAST(EXCLUDED.V30分_使用_電力量_29, NUMERIC),</t>
  </si>
  <si>
    <t>V30分_使用_電力量_30 = CAST(EXCLUDED.V30分_使用_電力量_30, NUMERIC),</t>
  </si>
  <si>
    <t>V30分_使用_電力量_31 = CAST(EXCLUDED.V30分_使用_電力量_31, NUMERIC),</t>
  </si>
  <si>
    <t>V30分_使用_電力量_32 = CAST(EXCLUDED.V30分_使用_電力量_32, NUMERIC),</t>
  </si>
  <si>
    <t>V30分_使用_電力量_33 = CAST(EXCLUDED.V30分_使用_電力量_33, NUMERIC),</t>
  </si>
  <si>
    <t>V30分_使用_電力量_34 = CAST(EXCLUDED.V30分_使用_電力量_34, NUMERIC),</t>
  </si>
  <si>
    <t>V30分_使用_電力量_35 = CAST(EXCLUDED.V30分_使用_電力量_35, NUMERIC),</t>
  </si>
  <si>
    <t>V30分_使用_電力量_36 = CAST(EXCLUDED.V30分_使用_電力量_36, NUMERIC),</t>
  </si>
  <si>
    <t>V30分_使用_電力量_37 = CAST(EXCLUDED.V30分_使用_電力量_37, NUMERIC),</t>
  </si>
  <si>
    <t>V30分_使用_電力量_38 = CAST(EXCLUDED.V30分_使用_電力量_38, NUMERIC),</t>
  </si>
  <si>
    <t>V30分_使用_電力量_39 = CAST(EXCLUDED.V30分_使用_電力量_39, NUMERIC),</t>
  </si>
  <si>
    <t>V30分_使用_電力量_40 = CAST(EXCLUDED.V30分_使用_電力量_40, NUMERIC),</t>
  </si>
  <si>
    <t>V30分_使用_電力量_41 = CAST(EXCLUDED.V30分_使用_電力量_41, NUMERIC),</t>
  </si>
  <si>
    <t>V30分_使用_電力量_42 = CAST(EXCLUDED.V30分_使用_電力量_42, NUMERIC),</t>
  </si>
  <si>
    <t>V30分_使用_電力量_43 = CAST(EXCLUDED.V30分_使用_電力量_43, NUMERIC),</t>
  </si>
  <si>
    <t>V30分_使用_電力量_44 = CAST(EXCLUDED.V30分_使用_電力量_44, NUMERIC),</t>
  </si>
  <si>
    <t>V30分_使用_電力量_45 = CAST(EXCLUDED.V30分_使用_電力量_45, NUMERIC),</t>
  </si>
  <si>
    <t>V30分_使用_電力量_46 = CAST(EXCLUDED.V30分_使用_電力量_46, NUMERIC),</t>
  </si>
  <si>
    <t>V30分_使用_電力量_47 = CAST(EXCLUDED.V30分_使用_電力量_47, NUMERIC),</t>
  </si>
  <si>
    <t>V30分_使用_電力量_48 = CAST(EXCLUDED.V30分_使用_電力量_48, NUMERIC),</t>
  </si>
  <si>
    <t>V30分_使用_電力量_1 = CAST(EXCLUDED.V30分_使用_電力量_1, NUMERIC),</t>
    <phoneticPr fontId="6"/>
  </si>
  <si>
    <t>欠測時間帯_件数 = CAST(EXCLUDED.欠測時間帯_件数, INTEGER),</t>
    <phoneticPr fontId="6"/>
  </si>
  <si>
    <t>不正値時間帯_件数 = CAST(EXCLUDED.不正値時間帯_件数, INTEGER),</t>
    <phoneticPr fontId="6"/>
  </si>
  <si>
    <t>お客さま名 = EXCLUDED.企業名,</t>
    <phoneticPr fontId="6"/>
  </si>
  <si>
    <t>データ項目更新仕様説明書No.5参照</t>
    <rPh sb="3" eb="12">
      <t>コウモクコウシンシヨウセツメイショ</t>
    </rPh>
    <rPh sb="16" eb="18">
      <t>サンショウ</t>
    </rPh>
    <phoneticPr fontId="6"/>
  </si>
  <si>
    <t>UPSERT対象</t>
    <rPh sb="6" eb="8">
      <t>タイショウ</t>
    </rPh>
    <phoneticPr fontId="6"/>
  </si>
  <si>
    <t>FROM 30分値取込管理</t>
    <rPh sb="7" eb="8">
      <t>フン</t>
    </rPh>
    <rPh sb="8" eb="9">
      <t>アタイ</t>
    </rPh>
    <rPh sb="9" eb="11">
      <t>トリコミ</t>
    </rPh>
    <rPh sb="11" eb="13">
      <t>カンリ</t>
    </rPh>
    <phoneticPr fontId="6"/>
  </si>
  <si>
    <t>WHERE 30分値取込管理.状態 = "3" AND</t>
    <rPh sb="8" eb="9">
      <t>フン</t>
    </rPh>
    <rPh sb="9" eb="10">
      <t>アタイ</t>
    </rPh>
    <rPh sb="10" eb="12">
      <t>トリコミ</t>
    </rPh>
    <rPh sb="12" eb="14">
      <t>カンリ</t>
    </rPh>
    <rPh sb="15" eb="17">
      <t>ジョウタイ</t>
    </rPh>
    <phoneticPr fontId="6"/>
  </si>
  <si>
    <t xml:space="preserve"> on 30分値取込管理.供給地点特定番号 = 建物マスタ.供給地点特定番号 AND</t>
    <phoneticPr fontId="6"/>
  </si>
  <si>
    <t>建物マスタ.削除フラグ = False</t>
  </si>
  <si>
    <t>30分値取込管理.供給地点特定番号 = 建物マスタ.供給地点特定番号
建物マスタ.削除フラグ = FALSE</t>
    <phoneticPr fontId="6"/>
  </si>
  <si>
    <t>30分値取込管理.供給地点特定番号 = ARVEお客さま情報.供給地点特定番号</t>
    <phoneticPr fontId="6"/>
  </si>
  <si>
    <t xml:space="preserve"> on 建物マスタ.法人番号 = 企業基本情報マスタ.法人番号</t>
    <rPh sb="4" eb="6">
      <t>タテモノ</t>
    </rPh>
    <rPh sb="10" eb="14">
      <t>ホウジンバンゴウ</t>
    </rPh>
    <rPh sb="27" eb="31">
      <t>ホウジンバンゴウ</t>
    </rPh>
    <phoneticPr fontId="6"/>
  </si>
  <si>
    <t xml:space="preserve"> on 30分値取込管理.供給地点特定番号 = ARVEお客さま情報.供給地点特定番号</t>
    <phoneticPr fontId="6"/>
  </si>
  <si>
    <t>※1000件(性能によって可変)ずつ取得する。</t>
    <rPh sb="5" eb="6">
      <t>ケン</t>
    </rPh>
    <rPh sb="7" eb="9">
      <t>セイノウ</t>
    </rPh>
    <rPh sb="13" eb="15">
      <t>カヘン</t>
    </rPh>
    <rPh sb="18" eb="20">
      <t>シュトク</t>
    </rPh>
    <phoneticPr fontId="6"/>
  </si>
  <si>
    <t>２で取得した連携対象のうち、建物マスタに紐づくデータを30分値の生データ情報テーブルに登録する</t>
    <rPh sb="1" eb="3">
      <t>シュトク</t>
    </rPh>
    <rPh sb="5" eb="9">
      <t>レンケイタイショウ</t>
    </rPh>
    <rPh sb="12" eb="14">
      <t>タテモノ</t>
    </rPh>
    <phoneticPr fontId="6"/>
  </si>
  <si>
    <t>バッチ実行日が1日～18日の場合、紐付け対象年月（バッチ実行年月-3）
バッチ実行日が19日～月末の場合、紐付け対象年月（バッチ実行年月-2）</t>
    <rPh sb="3" eb="6">
      <t>ジッコウビ</t>
    </rPh>
    <rPh sb="8" eb="9">
      <t>ニチ</t>
    </rPh>
    <rPh sb="12" eb="13">
      <t>ニチ</t>
    </rPh>
    <rPh sb="14" eb="16">
      <t>バアイ</t>
    </rPh>
    <rPh sb="20" eb="22">
      <t>タイショウ</t>
    </rPh>
    <rPh sb="36" eb="38">
      <t>ジッコウ</t>
    </rPh>
    <rPh sb="38" eb="39">
      <t>ビ</t>
    </rPh>
    <rPh sb="42" eb="43">
      <t>ニチ</t>
    </rPh>
    <rPh sb="44" eb="46">
      <t>ゲツマツ</t>
    </rPh>
    <rPh sb="47" eb="49">
      <t>バアイ</t>
    </rPh>
    <phoneticPr fontId="6"/>
  </si>
  <si>
    <t>紐付け対象年月設定</t>
    <rPh sb="5" eb="7">
      <t>ネンゲツ</t>
    </rPh>
    <rPh sb="7" eb="9">
      <t>セッテイ</t>
    </rPh>
    <phoneticPr fontId="7"/>
  </si>
  <si>
    <t>※データ項目更新仕様説明書No.2参照</t>
    <rPh sb="17" eb="19">
      <t>サンショウ</t>
    </rPh>
    <phoneticPr fontId="6"/>
  </si>
  <si>
    <t>バッチ実行年月日を取得する。</t>
    <rPh sb="3" eb="5">
      <t>ジッコウ</t>
    </rPh>
    <rPh sb="5" eb="7">
      <t>ネンゲツ</t>
    </rPh>
    <rPh sb="7" eb="8">
      <t>ヒ</t>
    </rPh>
    <rPh sb="8" eb="10">
      <t>シュトク</t>
    </rPh>
    <phoneticPr fontId="6"/>
  </si>
  <si>
    <t>バッチ実行年月日から紐付け実行年月を取得する。</t>
    <rPh sb="9" eb="11">
      <t>ヒモヅ</t>
    </rPh>
    <rPh sb="12" eb="16">
      <t>ジッコウネンゲツ</t>
    </rPh>
    <rPh sb="17" eb="19">
      <t>シュトク</t>
    </rPh>
    <phoneticPr fontId="6"/>
  </si>
  <si>
    <t>プログラム実行者を取得して設定</t>
  </si>
  <si>
    <t>プログラム実行者を取得して設定</t>
    <rPh sb="5" eb="8">
      <t>ジッコウシャ</t>
    </rPh>
    <rPh sb="9" eb="11">
      <t>シュトク</t>
    </rPh>
    <rPh sb="13" eb="15">
      <t>セッテイ</t>
    </rPh>
    <phoneticPr fontId="6"/>
  </si>
  <si>
    <t>Inner join EPデータ参照基盤データ30分値</t>
    <phoneticPr fontId="6"/>
  </si>
  <si>
    <t>Inner join ARVEお客さま情報</t>
    <phoneticPr fontId="6"/>
  </si>
  <si>
    <t>Inner join 建物マスタ</t>
    <rPh sb="11" eb="13">
      <t>タテモノ</t>
    </rPh>
    <phoneticPr fontId="6"/>
  </si>
  <si>
    <t>Inner join 企業基本情報マスタ</t>
    <phoneticPr fontId="6"/>
  </si>
  <si>
    <t>エラー発生時はエラーメッセージを30分値取込管理に追加する。</t>
    <rPh sb="3" eb="6">
      <t>ハッセイジ</t>
    </rPh>
    <phoneticPr fontId="6"/>
  </si>
  <si>
    <t>エラー発生時</t>
    <rPh sb="3" eb="6">
      <t>ハッセイジ</t>
    </rPh>
    <phoneticPr fontId="7"/>
  </si>
  <si>
    <t>紐付けエラーメッセージ</t>
    <rPh sb="0" eb="1">
      <t>ヅ</t>
    </rPh>
    <phoneticPr fontId="6"/>
  </si>
  <si>
    <t>エラー内容</t>
    <rPh sb="2" eb="4">
      <t>ナイヨウ</t>
    </rPh>
    <phoneticPr fontId="6"/>
  </si>
  <si>
    <t>SET 紐付けエラーメッセージ = エラー内容,</t>
    <phoneticPr fontId="6"/>
  </si>
  <si>
    <t>””</t>
    <phoneticPr fontId="6"/>
  </si>
  <si>
    <t>紐付けエラーメッセージ = "",</t>
    <phoneticPr fontId="6"/>
  </si>
  <si>
    <t>データ項目更新仕様説明書No.6参照</t>
    <rPh sb="3" eb="12">
      <t>コウモクコウシンシヨウセツメイショ</t>
    </rPh>
    <rPh sb="16" eb="18">
      <t>サンショウ</t>
    </rPh>
    <phoneticPr fontId="6"/>
  </si>
  <si>
    <t>Inner join 建物マスタ</t>
    <phoneticPr fontId="6"/>
  </si>
  <si>
    <t xml:space="preserve"> on 30分値取込管理.供給地点特定番号 = EPデータ参照基盤データ30分値.供給地点特定番号 AND</t>
    <phoneticPr fontId="6"/>
  </si>
  <si>
    <t>EPデータ参照基盤データ30分値.取得_年月日 BETWEEN 30分値取込管理.レポート作成対象年月の月初  AND 30分値取込管理.レポート作成対象年月の月末</t>
    <rPh sb="52" eb="54">
      <t>ゲッショ</t>
    </rPh>
    <rPh sb="81" eb="82">
      <t>マツ</t>
    </rPh>
    <phoneticPr fontId="6"/>
  </si>
  <si>
    <t>30分値取込管理.供給地点特定番号 = EPデータ参照基盤データ30分値.供給地点特定番号
EPデータ参照基盤データ30分値.取得_年月日 BETWEEN 30分値取込管理.レポート作成対象年月の月初  AND 30分値取込管理.レポート作成対象年月の月末</t>
    <phoneticPr fontId="6"/>
  </si>
  <si>
    <t>設定値</t>
    <phoneticPr fontId="7"/>
  </si>
  <si>
    <t>バッチの実行年月日
※実行時に引数が渡されている場合は引数を設定する。</t>
    <rPh sb="3" eb="7">
      <t>ジッコウネンゲツ</t>
    </rPh>
    <rPh sb="7" eb="8">
      <t>ヒ</t>
    </rPh>
    <rPh sb="11" eb="14">
      <t>ジッコウジ</t>
    </rPh>
    <rPh sb="15" eb="17">
      <t>ヒキスウ</t>
    </rPh>
    <rPh sb="18" eb="19">
      <t>ワタ</t>
    </rPh>
    <rPh sb="24" eb="26">
      <t>バアイ</t>
    </rPh>
    <rPh sb="27" eb="29">
      <t>ヒキスウ</t>
    </rPh>
    <rPh sb="30" eb="32">
      <t>セッテイ</t>
    </rPh>
    <phoneticPr fontId="6"/>
  </si>
  <si>
    <t>建物マスタ.拠点識別名</t>
    <rPh sb="6" eb="8">
      <t>キョテン</t>
    </rPh>
    <rPh sb="8" eb="10">
      <t>シキベツ</t>
    </rPh>
    <rPh sb="10" eb="11">
      <t>メイ</t>
    </rPh>
    <phoneticPr fontId="6"/>
  </si>
  <si>
    <t>建物マスタ.拠点識別名,</t>
    <rPh sb="6" eb="8">
      <t>キョテン</t>
    </rPh>
    <rPh sb="8" eb="10">
      <t>シキベツ</t>
    </rPh>
    <rPh sb="10" eb="11">
      <t>メイ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</si>
</sst>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&quot;年&quot;mm&quot;月&quot;dd&quot;日&quot;"/>
    <numFmt numFmtId="177" formatCode="yyyy/mm/dd"/>
    <numFmt numFmtId="178" formatCode="yyyy/mm/dd;@"/>
    <numFmt numFmtId="179" formatCode="0.0_ "/>
    <numFmt numFmtId="180" formatCode="0_ "/>
  </numFmts>
  <fonts count="32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0"/>
      <name val="Meiryo UI"/>
      <family val="3"/>
      <charset val="128"/>
    </font>
    <font>
      <sz val="6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0"/>
      <name val="Meiryo UI"/>
      <family val="3"/>
      <charset val="128"/>
    </font>
    <font>
      <sz val="20"/>
      <name val="Meiryo UI"/>
      <family val="3"/>
      <charset val="128"/>
    </font>
    <font>
      <sz val="11"/>
      <name val="Meiryo UI"/>
      <family val="3"/>
      <charset val="128"/>
    </font>
    <font>
      <sz val="11"/>
      <color indexed="8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28"/>
      <name val="Meiryo UI"/>
      <family val="3"/>
      <charset val="128"/>
    </font>
    <font>
      <sz val="9"/>
      <name val="Meiryo UI"/>
      <family val="3"/>
      <charset val="128"/>
    </font>
    <font>
      <sz val="10"/>
      <color rgb="FFFF0000"/>
      <name val="Meiryo UI"/>
      <family val="3"/>
      <charset val="128"/>
    </font>
    <font>
      <b/>
      <sz val="10"/>
      <color rgb="FF000000"/>
      <name val="Meiryo UI"/>
      <family val="3"/>
      <charset val="128"/>
    </font>
    <font>
      <sz val="10"/>
      <color theme="1"/>
      <name val="ＭＳ ゴシック"/>
      <family val="3"/>
      <charset val="128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b/>
      <sz val="8"/>
      <name val="ＭＳ ゴシック"/>
      <family val="3"/>
      <charset val="128"/>
    </font>
    <font>
      <b/>
      <u/>
      <sz val="14"/>
      <name val="ＭＳ ゴシック"/>
      <family val="3"/>
      <charset val="128"/>
    </font>
    <font>
      <sz val="10"/>
      <name val="ＭＳ ゴシック"/>
      <family val="3"/>
      <charset val="128"/>
    </font>
    <font>
      <b/>
      <sz val="18"/>
      <name val="ＭＳ ゴシック"/>
      <family val="3"/>
      <charset val="128"/>
    </font>
    <font>
      <b/>
      <u/>
      <sz val="14"/>
      <color theme="1"/>
      <name val="ＭＳ ゴシック"/>
      <family val="3"/>
      <charset val="128"/>
    </font>
    <font>
      <b/>
      <sz val="9"/>
      <name val="ＭＳ ゴシック"/>
      <family val="3"/>
      <charset val="128"/>
    </font>
    <font>
      <sz val="6"/>
      <name val="明朝"/>
      <family val="1"/>
      <charset val="128"/>
    </font>
    <font>
      <sz val="9"/>
      <color theme="1"/>
      <name val="ＭＳ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ck">
        <color auto="1"/>
      </left>
      <right/>
      <top/>
      <bottom/>
      <diagonal/>
    </border>
  </borders>
  <cellStyleXfs count="9">
    <xf numFmtId="0" fontId="0" fillId="0" borderId="0"/>
    <xf numFmtId="0" fontId="18" fillId="0" borderId="0">
      <alignment vertical="center"/>
    </xf>
    <xf numFmtId="0" fontId="19" fillId="0" borderId="0"/>
    <xf numFmtId="0" fontId="2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19" fillId="0" borderId="0"/>
    <xf numFmtId="0" fontId="2" fillId="0" borderId="0">
      <alignment vertical="center"/>
    </xf>
    <xf numFmtId="0" fontId="19" fillId="0" borderId="0"/>
  </cellStyleXfs>
  <cellXfs count="374">
    <xf numFmtId="0" fontId="0" fillId="0" borderId="0" xfId="0"/>
    <xf numFmtId="0" fontId="8" fillId="0" borderId="0" xfId="0" applyFont="1" applyAlignment="1">
      <alignment vertical="center"/>
    </xf>
    <xf numFmtId="0" fontId="8" fillId="0" borderId="0" xfId="0" applyFont="1" applyAlignment="1">
      <alignment vertical="top"/>
    </xf>
    <xf numFmtId="0" fontId="8" fillId="0" borderId="8" xfId="0" applyFont="1" applyBorder="1" applyAlignment="1">
      <alignment vertical="top"/>
    </xf>
    <xf numFmtId="0" fontId="10" fillId="0" borderId="0" xfId="0" applyFont="1" applyAlignment="1">
      <alignment vertical="center"/>
    </xf>
    <xf numFmtId="0" fontId="10" fillId="0" borderId="0" xfId="0" applyFont="1" applyAlignment="1">
      <alignment vertical="top"/>
    </xf>
    <xf numFmtId="0" fontId="10" fillId="0" borderId="0" xfId="0" applyFont="1" applyAlignment="1">
      <alignment vertical="top" wrapText="1"/>
    </xf>
    <xf numFmtId="0" fontId="8" fillId="0" borderId="0" xfId="0" applyFont="1" applyAlignment="1">
      <alignment horizontal="left" vertical="center"/>
    </xf>
    <xf numFmtId="0" fontId="10" fillId="3" borderId="1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49" fontId="10" fillId="0" borderId="12" xfId="0" applyNumberFormat="1" applyFont="1" applyBorder="1" applyAlignment="1">
      <alignment horizontal="center" vertical="top" wrapText="1"/>
    </xf>
    <xf numFmtId="0" fontId="8" fillId="0" borderId="3" xfId="0" applyFont="1" applyBorder="1" applyAlignment="1">
      <alignment horizontal="left" vertical="top"/>
    </xf>
    <xf numFmtId="177" fontId="10" fillId="0" borderId="12" xfId="0" applyNumberFormat="1" applyFont="1" applyBorder="1" applyAlignment="1">
      <alignment horizontal="center" vertical="top" wrapText="1"/>
    </xf>
    <xf numFmtId="0" fontId="11" fillId="0" borderId="12" xfId="0" applyFont="1" applyBorder="1" applyAlignment="1">
      <alignment horizontal="left" vertical="top" wrapText="1"/>
    </xf>
    <xf numFmtId="0" fontId="8" fillId="0" borderId="12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10" fillId="0" borderId="0" xfId="0" quotePrefix="1" applyFont="1" applyAlignment="1">
      <alignment vertical="top"/>
    </xf>
    <xf numFmtId="178" fontId="8" fillId="0" borderId="0" xfId="0" applyNumberFormat="1" applyFont="1" applyAlignment="1">
      <alignment horizontal="left" vertical="center"/>
    </xf>
    <xf numFmtId="0" fontId="12" fillId="0" borderId="3" xfId="0" applyFont="1" applyBorder="1" applyAlignment="1">
      <alignment horizontal="left" vertical="top" wrapText="1"/>
    </xf>
    <xf numFmtId="179" fontId="13" fillId="0" borderId="12" xfId="0" quotePrefix="1" applyNumberFormat="1" applyFont="1" applyBorder="1" applyAlignment="1">
      <alignment horizontal="center" vertical="top" wrapText="1"/>
    </xf>
    <xf numFmtId="0" fontId="8" fillId="2" borderId="12" xfId="0" applyFont="1" applyFill="1" applyBorder="1" applyAlignment="1">
      <alignment horizontal="left" vertical="top" wrapText="1"/>
    </xf>
    <xf numFmtId="0" fontId="8" fillId="2" borderId="12" xfId="0" applyFont="1" applyFill="1" applyBorder="1" applyAlignment="1">
      <alignment horizontal="left" vertical="top"/>
    </xf>
    <xf numFmtId="49" fontId="13" fillId="0" borderId="12" xfId="0" quotePrefix="1" applyNumberFormat="1" applyFont="1" applyBorder="1" applyAlignment="1">
      <alignment horizontal="center" vertical="top" wrapText="1"/>
    </xf>
    <xf numFmtId="0" fontId="8" fillId="0" borderId="8" xfId="0" applyFont="1" applyBorder="1" applyAlignment="1">
      <alignment vertical="center"/>
    </xf>
    <xf numFmtId="49" fontId="5" fillId="0" borderId="0" xfId="0" applyNumberFormat="1" applyFont="1" applyAlignment="1">
      <alignment vertical="center"/>
    </xf>
    <xf numFmtId="49" fontId="8" fillId="0" borderId="0" xfId="0" applyNumberFormat="1" applyFont="1" applyAlignment="1">
      <alignment vertical="center"/>
    </xf>
    <xf numFmtId="49" fontId="5" fillId="0" borderId="7" xfId="0" applyNumberFormat="1" applyFont="1" applyBorder="1" applyAlignment="1">
      <alignment vertical="center"/>
    </xf>
    <xf numFmtId="49" fontId="8" fillId="0" borderId="7" xfId="0" applyNumberFormat="1" applyFont="1" applyBorder="1" applyAlignment="1">
      <alignment vertical="center"/>
    </xf>
    <xf numFmtId="0" fontId="15" fillId="0" borderId="0" xfId="0" applyFont="1" applyAlignment="1">
      <alignment horizontal="left" vertical="center" readingOrder="1"/>
    </xf>
    <xf numFmtId="0" fontId="5" fillId="0" borderId="0" xfId="0" applyFont="1" applyAlignment="1">
      <alignment vertical="top"/>
    </xf>
    <xf numFmtId="49" fontId="8" fillId="0" borderId="9" xfId="0" applyNumberFormat="1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8" fillId="2" borderId="1" xfId="0" quotePrefix="1" applyFont="1" applyFill="1" applyBorder="1" applyAlignment="1">
      <alignment vertical="top"/>
    </xf>
    <xf numFmtId="0" fontId="8" fillId="2" borderId="12" xfId="0" quotePrefix="1" applyFont="1" applyFill="1" applyBorder="1" applyAlignment="1">
      <alignment vertical="top"/>
    </xf>
    <xf numFmtId="0" fontId="8" fillId="0" borderId="5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6" xfId="0" applyFont="1" applyBorder="1" applyAlignment="1">
      <alignment horizontal="left" vertical="center"/>
    </xf>
    <xf numFmtId="0" fontId="8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vertical="top"/>
    </xf>
    <xf numFmtId="0" fontId="8" fillId="0" borderId="8" xfId="0" applyFont="1" applyBorder="1" applyAlignment="1">
      <alignment horizontal="left" vertical="center"/>
    </xf>
    <xf numFmtId="0" fontId="8" fillId="0" borderId="7" xfId="0" applyFont="1" applyBorder="1" applyAlignment="1">
      <alignment vertical="center"/>
    </xf>
    <xf numFmtId="0" fontId="5" fillId="0" borderId="7" xfId="0" applyFont="1" applyBorder="1" applyAlignment="1">
      <alignment vertical="top"/>
    </xf>
    <xf numFmtId="0" fontId="16" fillId="0" borderId="0" xfId="0" applyFont="1" applyAlignment="1">
      <alignment vertical="top"/>
    </xf>
    <xf numFmtId="0" fontId="8" fillId="0" borderId="0" xfId="0" applyFont="1" applyAlignment="1">
      <alignment vertical="center" textRotation="255"/>
    </xf>
    <xf numFmtId="0" fontId="8" fillId="0" borderId="7" xfId="0" applyFont="1" applyBorder="1" applyAlignment="1">
      <alignment horizontal="left" vertical="top" indent="1"/>
    </xf>
    <xf numFmtId="0" fontId="5" fillId="0" borderId="0" xfId="0" applyFont="1" applyAlignment="1">
      <alignment vertical="center"/>
    </xf>
    <xf numFmtId="0" fontId="8" fillId="0" borderId="0" xfId="0" quotePrefix="1" applyFont="1" applyAlignment="1">
      <alignment vertical="center"/>
    </xf>
    <xf numFmtId="0" fontId="17" fillId="0" borderId="0" xfId="0" applyFont="1" applyAlignment="1">
      <alignment horizontal="left" vertical="center"/>
    </xf>
    <xf numFmtId="0" fontId="8" fillId="0" borderId="0" xfId="0" applyFont="1" applyAlignment="1">
      <alignment vertical="center" wrapText="1"/>
    </xf>
    <xf numFmtId="0" fontId="8" fillId="5" borderId="12" xfId="0" quotePrefix="1" applyFont="1" applyFill="1" applyBorder="1" applyAlignment="1">
      <alignment horizontal="center" vertical="center"/>
    </xf>
    <xf numFmtId="0" fontId="8" fillId="6" borderId="0" xfId="0" applyFont="1" applyFill="1" applyAlignment="1">
      <alignment vertical="center"/>
    </xf>
    <xf numFmtId="0" fontId="8" fillId="5" borderId="12" xfId="0" applyFont="1" applyFill="1" applyBorder="1" applyAlignment="1">
      <alignment vertical="center"/>
    </xf>
    <xf numFmtId="180" fontId="8" fillId="0" borderId="12" xfId="0" applyNumberFormat="1" applyFont="1" applyBorder="1" applyAlignment="1">
      <alignment vertical="top"/>
    </xf>
    <xf numFmtId="0" fontId="8" fillId="2" borderId="12" xfId="0" quotePrefix="1" applyFont="1" applyFill="1" applyBorder="1" applyAlignment="1">
      <alignment vertical="top" wrapText="1" shrinkToFit="1"/>
    </xf>
    <xf numFmtId="0" fontId="8" fillId="2" borderId="12" xfId="0" quotePrefix="1" applyFont="1" applyFill="1" applyBorder="1" applyAlignment="1">
      <alignment vertical="top" wrapText="1"/>
    </xf>
    <xf numFmtId="0" fontId="8" fillId="7" borderId="1" xfId="0" applyFont="1" applyFill="1" applyBorder="1" applyAlignment="1">
      <alignment vertical="top"/>
    </xf>
    <xf numFmtId="0" fontId="13" fillId="0" borderId="0" xfId="0" applyFont="1"/>
    <xf numFmtId="0" fontId="12" fillId="0" borderId="0" xfId="0" applyFont="1"/>
    <xf numFmtId="0" fontId="8" fillId="0" borderId="12" xfId="0" applyFont="1" applyBorder="1" applyAlignment="1">
      <alignment vertical="center"/>
    </xf>
    <xf numFmtId="0" fontId="12" fillId="0" borderId="12" xfId="0" applyFont="1" applyBorder="1"/>
    <xf numFmtId="0" fontId="5" fillId="4" borderId="12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vertical="center"/>
    </xf>
    <xf numFmtId="0" fontId="10" fillId="4" borderId="12" xfId="0" applyFont="1" applyFill="1" applyBorder="1" applyAlignment="1">
      <alignment horizontal="center" vertical="center"/>
    </xf>
    <xf numFmtId="0" fontId="20" fillId="0" borderId="0" xfId="2" applyFont="1"/>
    <xf numFmtId="0" fontId="21" fillId="0" borderId="0" xfId="2" applyFont="1"/>
    <xf numFmtId="0" fontId="20" fillId="0" borderId="20" xfId="2" applyFont="1" applyBorder="1"/>
    <xf numFmtId="49" fontId="20" fillId="0" borderId="31" xfId="2" applyNumberFormat="1" applyFont="1" applyBorder="1" applyAlignment="1">
      <alignment horizontal="left"/>
    </xf>
    <xf numFmtId="49" fontId="20" fillId="0" borderId="0" xfId="2" applyNumberFormat="1" applyFont="1" applyAlignment="1">
      <alignment horizontal="left"/>
    </xf>
    <xf numFmtId="49" fontId="20" fillId="0" borderId="7" xfId="2" applyNumberFormat="1" applyFont="1" applyBorder="1" applyAlignment="1">
      <alignment horizontal="left"/>
    </xf>
    <xf numFmtId="49" fontId="20" fillId="0" borderId="32" xfId="2" applyNumberFormat="1" applyFont="1" applyBorder="1" applyAlignment="1">
      <alignment horizontal="left"/>
    </xf>
    <xf numFmtId="49" fontId="20" fillId="0" borderId="33" xfId="2" applyNumberFormat="1" applyFont="1" applyBorder="1" applyAlignment="1">
      <alignment horizontal="left"/>
    </xf>
    <xf numFmtId="49" fontId="20" fillId="0" borderId="34" xfId="2" applyNumberFormat="1" applyFont="1" applyBorder="1" applyAlignment="1">
      <alignment horizontal="left"/>
    </xf>
    <xf numFmtId="49" fontId="20" fillId="0" borderId="10" xfId="2" applyNumberFormat="1" applyFont="1" applyBorder="1" applyAlignment="1">
      <alignment horizontal="left"/>
    </xf>
    <xf numFmtId="49" fontId="20" fillId="0" borderId="9" xfId="2" applyNumberFormat="1" applyFont="1" applyBorder="1" applyAlignment="1">
      <alignment horizontal="left"/>
    </xf>
    <xf numFmtId="49" fontId="20" fillId="0" borderId="35" xfId="2" applyNumberFormat="1" applyFont="1" applyBorder="1" applyAlignment="1">
      <alignment horizontal="left"/>
    </xf>
    <xf numFmtId="0" fontId="20" fillId="0" borderId="33" xfId="2" applyFont="1" applyBorder="1"/>
    <xf numFmtId="49" fontId="20" fillId="0" borderId="41" xfId="2" applyNumberFormat="1" applyFont="1" applyBorder="1" applyAlignment="1">
      <alignment horizontal="left"/>
    </xf>
    <xf numFmtId="49" fontId="20" fillId="0" borderId="20" xfId="2" applyNumberFormat="1" applyFont="1" applyBorder="1" applyAlignment="1">
      <alignment horizontal="left"/>
    </xf>
    <xf numFmtId="49" fontId="20" fillId="0" borderId="42" xfId="2" applyNumberFormat="1" applyFont="1" applyBorder="1" applyAlignment="1">
      <alignment horizontal="left"/>
    </xf>
    <xf numFmtId="49" fontId="20" fillId="0" borderId="43" xfId="2" applyNumberFormat="1" applyFont="1" applyBorder="1" applyAlignment="1">
      <alignment horizontal="left"/>
    </xf>
    <xf numFmtId="0" fontId="9" fillId="0" borderId="0" xfId="0" applyFont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22" fillId="0" borderId="0" xfId="2" applyFont="1" applyAlignment="1">
      <alignment horizontal="left" vertical="center"/>
    </xf>
    <xf numFmtId="0" fontId="20" fillId="8" borderId="17" xfId="2" applyFont="1" applyFill="1" applyBorder="1" applyAlignment="1">
      <alignment horizontal="left"/>
    </xf>
    <xf numFmtId="0" fontId="20" fillId="8" borderId="18" xfId="2" applyFont="1" applyFill="1" applyBorder="1" applyAlignment="1">
      <alignment horizontal="left"/>
    </xf>
    <xf numFmtId="0" fontId="20" fillId="8" borderId="19" xfId="2" applyFont="1" applyFill="1" applyBorder="1" applyAlignment="1">
      <alignment horizontal="left"/>
    </xf>
    <xf numFmtId="0" fontId="20" fillId="8" borderId="23" xfId="2" applyFont="1" applyFill="1" applyBorder="1" applyAlignment="1">
      <alignment horizontal="left"/>
    </xf>
    <xf numFmtId="0" fontId="20" fillId="8" borderId="24" xfId="2" applyFont="1" applyFill="1" applyBorder="1" applyAlignment="1">
      <alignment horizontal="left"/>
    </xf>
    <xf numFmtId="0" fontId="20" fillId="8" borderId="25" xfId="2" applyFont="1" applyFill="1" applyBorder="1" applyAlignment="1">
      <alignment horizontal="left"/>
    </xf>
    <xf numFmtId="0" fontId="20" fillId="0" borderId="17" xfId="2" applyFont="1" applyBorder="1" applyAlignment="1">
      <alignment horizontal="left"/>
    </xf>
    <xf numFmtId="0" fontId="20" fillId="0" borderId="23" xfId="2" applyFont="1" applyBorder="1" applyAlignment="1">
      <alignment horizontal="left"/>
    </xf>
    <xf numFmtId="0" fontId="20" fillId="0" borderId="24" xfId="2" applyFont="1" applyBorder="1" applyAlignment="1">
      <alignment horizontal="left"/>
    </xf>
    <xf numFmtId="0" fontId="20" fillId="0" borderId="25" xfId="2" applyFont="1" applyBorder="1" applyAlignment="1">
      <alignment horizontal="left"/>
    </xf>
    <xf numFmtId="0" fontId="20" fillId="0" borderId="18" xfId="2" applyFont="1" applyBorder="1" applyAlignment="1">
      <alignment horizontal="center"/>
    </xf>
    <xf numFmtId="0" fontId="20" fillId="0" borderId="47" xfId="2" applyFont="1" applyBorder="1" applyAlignment="1">
      <alignment horizontal="center"/>
    </xf>
    <xf numFmtId="0" fontId="12" fillId="0" borderId="15" xfId="0" applyFont="1" applyBorder="1" applyAlignment="1">
      <alignment horizontal="left"/>
    </xf>
    <xf numFmtId="0" fontId="12" fillId="0" borderId="53" xfId="0" applyFont="1" applyBorder="1"/>
    <xf numFmtId="0" fontId="12" fillId="0" borderId="21" xfId="0" applyFont="1" applyBorder="1" applyAlignment="1">
      <alignment horizontal="left"/>
    </xf>
    <xf numFmtId="0" fontId="12" fillId="0" borderId="54" xfId="0" applyFont="1" applyBorder="1"/>
    <xf numFmtId="0" fontId="0" fillId="0" borderId="20" xfId="0" applyBorder="1"/>
    <xf numFmtId="0" fontId="26" fillId="0" borderId="44" xfId="2" applyFont="1" applyBorder="1" applyAlignment="1">
      <alignment horizontal="left"/>
    </xf>
    <xf numFmtId="0" fontId="26" fillId="0" borderId="18" xfId="2" applyFont="1" applyBorder="1" applyAlignment="1">
      <alignment horizontal="center"/>
    </xf>
    <xf numFmtId="0" fontId="26" fillId="0" borderId="47" xfId="2" applyFont="1" applyBorder="1" applyAlignment="1">
      <alignment horizontal="center"/>
    </xf>
    <xf numFmtId="0" fontId="26" fillId="0" borderId="48" xfId="2" applyFont="1" applyBorder="1" applyAlignment="1">
      <alignment horizontal="left"/>
    </xf>
    <xf numFmtId="0" fontId="26" fillId="0" borderId="24" xfId="2" applyFont="1" applyBorder="1" applyAlignment="1">
      <alignment horizontal="center"/>
    </xf>
    <xf numFmtId="0" fontId="26" fillId="0" borderId="49" xfId="2" applyFont="1" applyBorder="1" applyAlignment="1">
      <alignment horizontal="center"/>
    </xf>
    <xf numFmtId="178" fontId="11" fillId="0" borderId="12" xfId="0" applyNumberFormat="1" applyFont="1" applyBorder="1" applyAlignment="1">
      <alignment horizontal="left" vertical="top" wrapText="1"/>
    </xf>
    <xf numFmtId="14" fontId="21" fillId="2" borderId="0" xfId="2" applyNumberFormat="1" applyFont="1" applyFill="1"/>
    <xf numFmtId="0" fontId="22" fillId="0" borderId="0" xfId="2" applyFont="1" applyAlignment="1">
      <alignment vertical="center"/>
    </xf>
    <xf numFmtId="0" fontId="20" fillId="0" borderId="44" xfId="2" applyFont="1" applyBorder="1" applyAlignment="1">
      <alignment horizontal="left" vertical="center"/>
    </xf>
    <xf numFmtId="0" fontId="20" fillId="0" borderId="19" xfId="2" applyFont="1" applyBorder="1" applyAlignment="1">
      <alignment horizontal="center"/>
    </xf>
    <xf numFmtId="0" fontId="22" fillId="0" borderId="10" xfId="2" applyFont="1" applyBorder="1" applyAlignment="1">
      <alignment horizontal="left" vertical="center"/>
    </xf>
    <xf numFmtId="0" fontId="22" fillId="0" borderId="10" xfId="2" applyFont="1" applyBorder="1" applyAlignment="1">
      <alignment vertical="center"/>
    </xf>
    <xf numFmtId="0" fontId="20" fillId="0" borderId="10" xfId="2" applyFont="1" applyBorder="1"/>
    <xf numFmtId="0" fontId="20" fillId="0" borderId="46" xfId="2" applyFont="1" applyBorder="1" applyAlignment="1">
      <alignment horizontal="left" vertical="center"/>
    </xf>
    <xf numFmtId="0" fontId="20" fillId="0" borderId="2" xfId="2" applyFont="1" applyBorder="1" applyAlignment="1">
      <alignment horizontal="center"/>
    </xf>
    <xf numFmtId="0" fontId="20" fillId="0" borderId="3" xfId="2" applyFont="1" applyBorder="1" applyAlignment="1">
      <alignment horizontal="center"/>
    </xf>
    <xf numFmtId="0" fontId="20" fillId="0" borderId="1" xfId="2" applyFont="1" applyBorder="1" applyAlignment="1">
      <alignment horizontal="left"/>
    </xf>
    <xf numFmtId="0" fontId="20" fillId="0" borderId="2" xfId="2" applyFont="1" applyBorder="1" applyAlignment="1">
      <alignment horizontal="left"/>
    </xf>
    <xf numFmtId="0" fontId="20" fillId="0" borderId="45" xfId="2" applyFont="1" applyBorder="1" applyAlignment="1">
      <alignment horizontal="left"/>
    </xf>
    <xf numFmtId="0" fontId="20" fillId="9" borderId="17" xfId="3" applyFont="1" applyFill="1" applyBorder="1" applyAlignment="1">
      <alignment horizontal="center" vertical="center"/>
    </xf>
    <xf numFmtId="0" fontId="20" fillId="9" borderId="18" xfId="3" applyFont="1" applyFill="1" applyBorder="1" applyAlignment="1">
      <alignment horizontal="center" vertical="center"/>
    </xf>
    <xf numFmtId="0" fontId="20" fillId="9" borderId="19" xfId="3" applyFont="1" applyFill="1" applyBorder="1" applyAlignment="1">
      <alignment horizontal="center" vertical="center"/>
    </xf>
    <xf numFmtId="0" fontId="20" fillId="9" borderId="1" xfId="3" applyFont="1" applyFill="1" applyBorder="1" applyAlignment="1">
      <alignment horizontal="center" vertical="center"/>
    </xf>
    <xf numFmtId="0" fontId="20" fillId="9" borderId="2" xfId="3" applyFont="1" applyFill="1" applyBorder="1" applyAlignment="1">
      <alignment horizontal="center" vertical="center"/>
    </xf>
    <xf numFmtId="0" fontId="20" fillId="9" borderId="45" xfId="3" applyFont="1" applyFill="1" applyBorder="1" applyAlignment="1">
      <alignment horizontal="center" vertical="center"/>
    </xf>
    <xf numFmtId="0" fontId="20" fillId="9" borderId="59" xfId="3" applyFont="1" applyFill="1" applyBorder="1" applyAlignment="1">
      <alignment horizontal="center" vertical="center"/>
    </xf>
    <xf numFmtId="0" fontId="20" fillId="9" borderId="58" xfId="3" applyFont="1" applyFill="1" applyBorder="1" applyAlignment="1">
      <alignment horizontal="center" vertical="center"/>
    </xf>
    <xf numFmtId="0" fontId="20" fillId="9" borderId="61" xfId="3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vertical="top"/>
    </xf>
    <xf numFmtId="0" fontId="8" fillId="0" borderId="9" xfId="0" applyFont="1" applyBorder="1" applyAlignment="1">
      <alignment vertical="top"/>
    </xf>
    <xf numFmtId="0" fontId="5" fillId="0" borderId="10" xfId="0" applyFont="1" applyBorder="1" applyAlignment="1">
      <alignment vertical="center"/>
    </xf>
    <xf numFmtId="0" fontId="8" fillId="0" borderId="11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20" fillId="0" borderId="0" xfId="2" applyFont="1" applyAlignment="1">
      <alignment vertical="center"/>
    </xf>
    <xf numFmtId="0" fontId="26" fillId="0" borderId="0" xfId="2" applyFont="1"/>
    <xf numFmtId="0" fontId="28" fillId="0" borderId="0" xfId="0" applyFont="1"/>
    <xf numFmtId="0" fontId="0" fillId="0" borderId="75" xfId="0" applyBorder="1"/>
    <xf numFmtId="0" fontId="0" fillId="0" borderId="12" xfId="0" quotePrefix="1" applyBorder="1"/>
    <xf numFmtId="0" fontId="0" fillId="0" borderId="12" xfId="0" applyBorder="1"/>
    <xf numFmtId="49" fontId="20" fillId="0" borderId="21" xfId="2" applyNumberFormat="1" applyFont="1" applyBorder="1" applyAlignment="1">
      <alignment vertical="top" wrapText="1"/>
    </xf>
    <xf numFmtId="49" fontId="20" fillId="0" borderId="24" xfId="2" applyNumberFormat="1" applyFont="1" applyBorder="1" applyAlignment="1">
      <alignment vertical="top" wrapText="1"/>
    </xf>
    <xf numFmtId="49" fontId="20" fillId="0" borderId="49" xfId="2" applyNumberFormat="1" applyFont="1" applyBorder="1" applyAlignment="1">
      <alignment vertical="top" wrapText="1"/>
    </xf>
    <xf numFmtId="180" fontId="8" fillId="0" borderId="0" xfId="0" applyNumberFormat="1" applyFont="1" applyAlignment="1">
      <alignment vertical="top"/>
    </xf>
    <xf numFmtId="0" fontId="8" fillId="2" borderId="0" xfId="0" quotePrefix="1" applyFont="1" applyFill="1" applyAlignment="1">
      <alignment vertical="top"/>
    </xf>
    <xf numFmtId="0" fontId="8" fillId="2" borderId="0" xfId="0" quotePrefix="1" applyFont="1" applyFill="1" applyAlignment="1">
      <alignment vertical="top" wrapText="1" shrinkToFit="1"/>
    </xf>
    <xf numFmtId="0" fontId="8" fillId="2" borderId="0" xfId="0" quotePrefix="1" applyFont="1" applyFill="1" applyAlignment="1">
      <alignment vertical="top" wrapText="1"/>
    </xf>
    <xf numFmtId="0" fontId="5" fillId="4" borderId="1" xfId="1" applyFont="1" applyFill="1" applyBorder="1">
      <alignment vertical="center"/>
    </xf>
    <xf numFmtId="0" fontId="5" fillId="4" borderId="12" xfId="1" applyFont="1" applyFill="1" applyBorder="1" applyAlignment="1">
      <alignment horizontal="center" vertical="center"/>
    </xf>
    <xf numFmtId="0" fontId="5" fillId="4" borderId="12" xfId="1" applyFont="1" applyFill="1" applyBorder="1">
      <alignment vertical="center"/>
    </xf>
    <xf numFmtId="0" fontId="8" fillId="0" borderId="0" xfId="1" applyFont="1">
      <alignment vertical="center"/>
    </xf>
    <xf numFmtId="0" fontId="8" fillId="0" borderId="0" xfId="1" applyFont="1" applyAlignment="1">
      <alignment vertical="center" wrapText="1"/>
    </xf>
    <xf numFmtId="0" fontId="8" fillId="5" borderId="12" xfId="1" quotePrefix="1" applyFont="1" applyFill="1" applyBorder="1" applyAlignment="1">
      <alignment horizontal="center" vertical="center"/>
    </xf>
    <xf numFmtId="0" fontId="8" fillId="6" borderId="0" xfId="1" applyFont="1" applyFill="1" applyAlignment="1">
      <alignment vertical="center" wrapText="1"/>
    </xf>
    <xf numFmtId="0" fontId="8" fillId="6" borderId="14" xfId="1" applyFont="1" applyFill="1" applyBorder="1" applyAlignment="1">
      <alignment vertical="center" wrapText="1"/>
    </xf>
    <xf numFmtId="0" fontId="5" fillId="4" borderId="13" xfId="1" applyFont="1" applyFill="1" applyBorder="1" applyAlignment="1">
      <alignment horizontal="center" vertical="center"/>
    </xf>
    <xf numFmtId="180" fontId="8" fillId="0" borderId="12" xfId="1" applyNumberFormat="1" applyFont="1" applyBorder="1" applyAlignment="1">
      <alignment vertical="top"/>
    </xf>
    <xf numFmtId="0" fontId="8" fillId="2" borderId="1" xfId="1" quotePrefix="1" applyFont="1" applyFill="1" applyBorder="1" applyAlignment="1">
      <alignment vertical="top"/>
    </xf>
    <xf numFmtId="0" fontId="8" fillId="2" borderId="12" xfId="1" quotePrefix="1" applyFont="1" applyFill="1" applyBorder="1" applyAlignment="1">
      <alignment vertical="top" wrapText="1" shrinkToFit="1"/>
    </xf>
    <xf numFmtId="0" fontId="8" fillId="0" borderId="12" xfId="1" applyFont="1" applyBorder="1">
      <alignment vertical="center"/>
    </xf>
    <xf numFmtId="0" fontId="8" fillId="0" borderId="12" xfId="1" applyFont="1" applyBorder="1" applyAlignment="1">
      <alignment horizontal="center" vertical="center"/>
    </xf>
    <xf numFmtId="0" fontId="12" fillId="0" borderId="0" xfId="1" applyFont="1" applyAlignment="1"/>
    <xf numFmtId="0" fontId="13" fillId="0" borderId="0" xfId="1" applyFont="1" applyAlignment="1"/>
    <xf numFmtId="0" fontId="8" fillId="2" borderId="3" xfId="1" quotePrefix="1" applyFont="1" applyFill="1" applyBorder="1" applyAlignment="1">
      <alignment horizontal="left" vertical="top" wrapText="1" shrinkToFit="1"/>
    </xf>
    <xf numFmtId="0" fontId="29" fillId="0" borderId="0" xfId="0" applyFont="1"/>
    <xf numFmtId="0" fontId="20" fillId="0" borderId="76" xfId="3" applyFont="1" applyBorder="1" applyAlignment="1">
      <alignment vertical="center" shrinkToFit="1"/>
    </xf>
    <xf numFmtId="0" fontId="0" fillId="0" borderId="77" xfId="0" applyBorder="1"/>
    <xf numFmtId="0" fontId="0" fillId="0" borderId="78" xfId="0" applyBorder="1"/>
    <xf numFmtId="0" fontId="0" fillId="0" borderId="79" xfId="0" applyBorder="1"/>
    <xf numFmtId="0" fontId="5" fillId="4" borderId="12" xfId="1" applyFont="1" applyFill="1" applyBorder="1" applyAlignment="1">
      <alignment horizontal="left" vertical="center"/>
    </xf>
    <xf numFmtId="0" fontId="8" fillId="0" borderId="13" xfId="1" applyFont="1" applyBorder="1">
      <alignment vertical="center"/>
    </xf>
    <xf numFmtId="0" fontId="8" fillId="2" borderId="12" xfId="1" quotePrefix="1" applyFont="1" applyFill="1" applyBorder="1" applyAlignment="1">
      <alignment horizontal="left" vertical="top" shrinkToFit="1"/>
    </xf>
    <xf numFmtId="180" fontId="8" fillId="0" borderId="1" xfId="1" applyNumberFormat="1" applyFont="1" applyBorder="1" applyAlignment="1">
      <alignment vertical="top"/>
    </xf>
    <xf numFmtId="0" fontId="8" fillId="2" borderId="12" xfId="0" quotePrefix="1" applyFont="1" applyFill="1" applyBorder="1" applyAlignment="1">
      <alignment vertical="top" shrinkToFit="1"/>
    </xf>
    <xf numFmtId="14" fontId="0" fillId="0" borderId="0" xfId="0" quotePrefix="1" applyNumberFormat="1" applyAlignment="1">
      <alignment horizontal="left"/>
    </xf>
    <xf numFmtId="0" fontId="0" fillId="0" borderId="80" xfId="0" applyBorder="1"/>
    <xf numFmtId="0" fontId="5" fillId="4" borderId="1" xfId="0" applyFont="1" applyFill="1" applyBorder="1" applyAlignment="1">
      <alignment vertical="center"/>
    </xf>
    <xf numFmtId="0" fontId="8" fillId="6" borderId="0" xfId="0" quotePrefix="1" applyFont="1" applyFill="1" applyAlignment="1">
      <alignment vertical="center"/>
    </xf>
    <xf numFmtId="180" fontId="8" fillId="0" borderId="1" xfId="1" quotePrefix="1" applyNumberFormat="1" applyFont="1" applyBorder="1" applyAlignment="1">
      <alignment horizontal="left" vertical="top" wrapText="1"/>
    </xf>
    <xf numFmtId="180" fontId="8" fillId="0" borderId="2" xfId="1" applyNumberFormat="1" applyFont="1" applyBorder="1" applyAlignment="1">
      <alignment horizontal="left" vertical="top"/>
    </xf>
    <xf numFmtId="180" fontId="8" fillId="0" borderId="3" xfId="1" applyNumberFormat="1" applyFont="1" applyBorder="1" applyAlignment="1">
      <alignment horizontal="left" vertical="top"/>
    </xf>
    <xf numFmtId="0" fontId="5" fillId="4" borderId="1" xfId="1" applyFont="1" applyFill="1" applyBorder="1" applyAlignment="1">
      <alignment horizontal="left" vertical="center"/>
    </xf>
    <xf numFmtId="0" fontId="5" fillId="4" borderId="2" xfId="1" applyFont="1" applyFill="1" applyBorder="1" applyAlignment="1">
      <alignment horizontal="left" vertical="center"/>
    </xf>
    <xf numFmtId="0" fontId="5" fillId="4" borderId="3" xfId="1" applyFont="1" applyFill="1" applyBorder="1" applyAlignment="1">
      <alignment horizontal="left" vertical="center"/>
    </xf>
    <xf numFmtId="180" fontId="8" fillId="0" borderId="1" xfId="1" applyNumberFormat="1" applyFont="1" applyBorder="1" applyAlignment="1">
      <alignment horizontal="left" vertical="top"/>
    </xf>
    <xf numFmtId="0" fontId="5" fillId="4" borderId="13" xfId="1" applyFont="1" applyFill="1" applyBorder="1" applyAlignment="1">
      <alignment horizontal="center" vertical="center"/>
    </xf>
    <xf numFmtId="0" fontId="5" fillId="4" borderId="14" xfId="1" applyFont="1" applyFill="1" applyBorder="1" applyAlignment="1">
      <alignment horizontal="center" vertical="center"/>
    </xf>
    <xf numFmtId="0" fontId="25" fillId="0" borderId="0" xfId="0" applyFont="1"/>
    <xf numFmtId="0" fontId="5" fillId="4" borderId="13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180" fontId="8" fillId="0" borderId="1" xfId="1" applyNumberFormat="1" applyFont="1" applyBorder="1" applyAlignment="1">
      <alignment horizontal="left" vertical="top" wrapText="1"/>
    </xf>
    <xf numFmtId="0" fontId="9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176" fontId="9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 wrapText="1"/>
    </xf>
    <xf numFmtId="0" fontId="10" fillId="4" borderId="1" xfId="0" applyFont="1" applyFill="1" applyBorder="1" applyAlignment="1">
      <alignment horizontal="center" vertical="center" shrinkToFit="1"/>
    </xf>
    <xf numFmtId="0" fontId="10" fillId="4" borderId="2" xfId="0" applyFont="1" applyFill="1" applyBorder="1" applyAlignment="1">
      <alignment horizontal="center" vertical="center" shrinkToFit="1"/>
    </xf>
    <xf numFmtId="0" fontId="10" fillId="0" borderId="12" xfId="0" applyFont="1" applyBorder="1" applyAlignment="1">
      <alignment horizontal="left" vertical="center"/>
    </xf>
    <xf numFmtId="0" fontId="10" fillId="0" borderId="0" xfId="0" applyFont="1" applyAlignment="1">
      <alignment vertical="top" wrapText="1"/>
    </xf>
    <xf numFmtId="0" fontId="10" fillId="3" borderId="1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22" fillId="0" borderId="0" xfId="2" applyFont="1" applyAlignment="1">
      <alignment horizontal="left" vertical="center"/>
    </xf>
    <xf numFmtId="0" fontId="22" fillId="0" borderId="20" xfId="2" applyFont="1" applyBorder="1" applyAlignment="1">
      <alignment horizontal="left" vertical="center"/>
    </xf>
    <xf numFmtId="0" fontId="26" fillId="0" borderId="34" xfId="3" applyFont="1" applyBorder="1" applyAlignment="1">
      <alignment horizontal="left" vertical="center" wrapText="1"/>
    </xf>
    <xf numFmtId="0" fontId="26" fillId="0" borderId="10" xfId="3" applyFont="1" applyBorder="1" applyAlignment="1">
      <alignment horizontal="left" vertical="center" wrapText="1"/>
    </xf>
    <xf numFmtId="0" fontId="26" fillId="0" borderId="57" xfId="3" applyFont="1" applyBorder="1" applyAlignment="1">
      <alignment horizontal="left" vertical="center" wrapText="1"/>
    </xf>
    <xf numFmtId="0" fontId="26" fillId="0" borderId="58" xfId="3" applyFont="1" applyBorder="1" applyAlignment="1">
      <alignment horizontal="left" vertical="center" wrapText="1"/>
    </xf>
    <xf numFmtId="0" fontId="20" fillId="0" borderId="17" xfId="2" applyFont="1" applyBorder="1" applyAlignment="1">
      <alignment horizontal="left"/>
    </xf>
    <xf numFmtId="0" fontId="20" fillId="0" borderId="18" xfId="2" applyFont="1" applyBorder="1" applyAlignment="1">
      <alignment horizontal="left"/>
    </xf>
    <xf numFmtId="0" fontId="20" fillId="0" borderId="19" xfId="2" applyFont="1" applyBorder="1" applyAlignment="1">
      <alignment horizontal="left"/>
    </xf>
    <xf numFmtId="0" fontId="15" fillId="0" borderId="58" xfId="3" applyFont="1" applyBorder="1" applyAlignment="1">
      <alignment horizontal="center" vertical="center" wrapText="1"/>
    </xf>
    <xf numFmtId="0" fontId="15" fillId="0" borderId="60" xfId="3" applyFont="1" applyBorder="1" applyAlignment="1">
      <alignment horizontal="center" vertical="center" wrapText="1"/>
    </xf>
    <xf numFmtId="0" fontId="15" fillId="0" borderId="59" xfId="0" applyFont="1" applyBorder="1" applyAlignment="1">
      <alignment horizontal="left" wrapText="1"/>
    </xf>
    <xf numFmtId="0" fontId="15" fillId="0" borderId="58" xfId="0" applyFont="1" applyBorder="1" applyAlignment="1">
      <alignment horizontal="left" wrapText="1"/>
    </xf>
    <xf numFmtId="0" fontId="15" fillId="0" borderId="60" xfId="0" applyFont="1" applyBorder="1" applyAlignment="1">
      <alignment horizontal="left" wrapText="1"/>
    </xf>
    <xf numFmtId="0" fontId="15" fillId="0" borderId="9" xfId="0" applyFont="1" applyBorder="1" applyAlignment="1">
      <alignment wrapText="1"/>
    </xf>
    <xf numFmtId="0" fontId="15" fillId="0" borderId="10" xfId="0" applyFont="1" applyBorder="1" applyAlignment="1">
      <alignment wrapText="1"/>
    </xf>
    <xf numFmtId="0" fontId="15" fillId="0" borderId="35" xfId="0" applyFont="1" applyBorder="1" applyAlignment="1">
      <alignment wrapText="1"/>
    </xf>
    <xf numFmtId="0" fontId="26" fillId="0" borderId="44" xfId="3" applyFont="1" applyBorder="1" applyAlignment="1">
      <alignment horizontal="left" vertical="center" shrinkToFit="1"/>
    </xf>
    <xf numFmtId="0" fontId="26" fillId="0" borderId="18" xfId="3" applyFont="1" applyBorder="1" applyAlignment="1">
      <alignment horizontal="left" vertical="center" shrinkToFit="1"/>
    </xf>
    <xf numFmtId="0" fontId="26" fillId="0" borderId="51" xfId="3" applyFont="1" applyBorder="1" applyAlignment="1">
      <alignment horizontal="left" vertical="center" shrinkToFit="1"/>
    </xf>
    <xf numFmtId="49" fontId="15" fillId="0" borderId="50" xfId="3" applyNumberFormat="1" applyFont="1" applyBorder="1" applyAlignment="1">
      <alignment horizontal="left" vertical="center" wrapText="1" shrinkToFit="1"/>
    </xf>
    <xf numFmtId="49" fontId="15" fillId="0" borderId="2" xfId="3" applyNumberFormat="1" applyFont="1" applyBorder="1" applyAlignment="1">
      <alignment horizontal="left" vertical="center" shrinkToFit="1"/>
    </xf>
    <xf numFmtId="49" fontId="15" fillId="0" borderId="3" xfId="3" applyNumberFormat="1" applyFont="1" applyBorder="1" applyAlignment="1">
      <alignment horizontal="left" vertical="center" shrinkToFit="1"/>
    </xf>
    <xf numFmtId="49" fontId="26" fillId="0" borderId="17" xfId="3" applyNumberFormat="1" applyFont="1" applyBorder="1" applyAlignment="1">
      <alignment horizontal="left" vertical="center"/>
    </xf>
    <xf numFmtId="49" fontId="26" fillId="0" borderId="18" xfId="3" applyNumberFormat="1" applyFont="1" applyBorder="1" applyAlignment="1">
      <alignment horizontal="left" vertical="center"/>
    </xf>
    <xf numFmtId="49" fontId="26" fillId="0" borderId="51" xfId="3" applyNumberFormat="1" applyFont="1" applyBorder="1" applyAlignment="1">
      <alignment horizontal="left" vertical="center"/>
    </xf>
    <xf numFmtId="0" fontId="15" fillId="0" borderId="52" xfId="3" applyFont="1" applyBorder="1" applyAlignment="1">
      <alignment horizontal="left" vertical="center" wrapText="1"/>
    </xf>
    <xf numFmtId="0" fontId="15" fillId="0" borderId="18" xfId="3" applyFont="1" applyBorder="1" applyAlignment="1">
      <alignment horizontal="left" vertical="center"/>
    </xf>
    <xf numFmtId="0" fontId="15" fillId="0" borderId="47" xfId="3" applyFont="1" applyBorder="1" applyAlignment="1">
      <alignment horizontal="left" vertical="center"/>
    </xf>
    <xf numFmtId="0" fontId="26" fillId="0" borderId="59" xfId="3" applyFont="1" applyBorder="1" applyAlignment="1">
      <alignment horizontal="center" vertical="center" wrapText="1"/>
    </xf>
    <xf numFmtId="0" fontId="26" fillId="0" borderId="58" xfId="3" applyFont="1" applyBorder="1" applyAlignment="1">
      <alignment horizontal="center" vertical="center" wrapText="1"/>
    </xf>
    <xf numFmtId="0" fontId="26" fillId="0" borderId="60" xfId="3" applyFont="1" applyBorder="1" applyAlignment="1">
      <alignment horizontal="center" vertical="center" wrapText="1"/>
    </xf>
    <xf numFmtId="0" fontId="26" fillId="0" borderId="34" xfId="3" applyFont="1" applyBorder="1" applyAlignment="1">
      <alignment horizontal="left" vertical="center" shrinkToFit="1"/>
    </xf>
    <xf numFmtId="0" fontId="26" fillId="0" borderId="10" xfId="3" applyFont="1" applyBorder="1" applyAlignment="1">
      <alignment horizontal="left" vertical="center" shrinkToFit="1"/>
    </xf>
    <xf numFmtId="0" fontId="26" fillId="0" borderId="55" xfId="3" applyFont="1" applyBorder="1" applyAlignment="1">
      <alignment horizontal="left" vertical="center" shrinkToFit="1"/>
    </xf>
    <xf numFmtId="0" fontId="15" fillId="0" borderId="56" xfId="3" applyFont="1" applyBorder="1" applyAlignment="1">
      <alignment horizontal="left" vertical="center" shrinkToFit="1"/>
    </xf>
    <xf numFmtId="0" fontId="15" fillId="0" borderId="10" xfId="3" applyFont="1" applyBorder="1" applyAlignment="1">
      <alignment horizontal="left" vertical="center" shrinkToFit="1"/>
    </xf>
    <xf numFmtId="0" fontId="15" fillId="0" borderId="11" xfId="3" applyFont="1" applyBorder="1" applyAlignment="1">
      <alignment horizontal="left" vertical="center" shrinkToFit="1"/>
    </xf>
    <xf numFmtId="49" fontId="26" fillId="0" borderId="9" xfId="3" applyNumberFormat="1" applyFont="1" applyBorder="1" applyAlignment="1">
      <alignment horizontal="left" vertical="center"/>
    </xf>
    <xf numFmtId="49" fontId="26" fillId="0" borderId="10" xfId="3" applyNumberFormat="1" applyFont="1" applyBorder="1" applyAlignment="1">
      <alignment horizontal="left" vertical="center"/>
    </xf>
    <xf numFmtId="49" fontId="26" fillId="0" borderId="55" xfId="3" applyNumberFormat="1" applyFont="1" applyBorder="1" applyAlignment="1">
      <alignment horizontal="left" vertical="center"/>
    </xf>
    <xf numFmtId="0" fontId="15" fillId="0" borderId="56" xfId="3" applyFont="1" applyBorder="1" applyAlignment="1">
      <alignment horizontal="left" vertical="center"/>
    </xf>
    <xf numFmtId="0" fontId="15" fillId="0" borderId="10" xfId="3" applyFont="1" applyBorder="1" applyAlignment="1">
      <alignment horizontal="left" vertical="center"/>
    </xf>
    <xf numFmtId="0" fontId="15" fillId="0" borderId="11" xfId="3" applyFont="1" applyBorder="1" applyAlignment="1">
      <alignment horizontal="left" vertical="center"/>
    </xf>
    <xf numFmtId="0" fontId="26" fillId="8" borderId="15" xfId="2" applyFont="1" applyFill="1" applyBorder="1" applyAlignment="1">
      <alignment horizontal="center"/>
    </xf>
    <xf numFmtId="0" fontId="26" fillId="8" borderId="16" xfId="2" applyFont="1" applyFill="1" applyBorder="1" applyAlignment="1">
      <alignment horizontal="center"/>
    </xf>
    <xf numFmtId="0" fontId="15" fillId="8" borderId="17" xfId="2" applyFont="1" applyFill="1" applyBorder="1" applyAlignment="1">
      <alignment horizontal="left"/>
    </xf>
    <xf numFmtId="0" fontId="15" fillId="8" borderId="18" xfId="2" applyFont="1" applyFill="1" applyBorder="1" applyAlignment="1">
      <alignment horizontal="left"/>
    </xf>
    <xf numFmtId="0" fontId="15" fillId="8" borderId="19" xfId="2" applyFont="1" applyFill="1" applyBorder="1" applyAlignment="1">
      <alignment horizontal="left"/>
    </xf>
    <xf numFmtId="0" fontId="26" fillId="8" borderId="21" xfId="2" applyFont="1" applyFill="1" applyBorder="1" applyAlignment="1">
      <alignment horizontal="center"/>
    </xf>
    <xf numFmtId="0" fontId="26" fillId="8" borderId="22" xfId="2" applyFont="1" applyFill="1" applyBorder="1" applyAlignment="1">
      <alignment horizontal="center"/>
    </xf>
    <xf numFmtId="0" fontId="15" fillId="8" borderId="23" xfId="2" applyFont="1" applyFill="1" applyBorder="1" applyAlignment="1">
      <alignment horizontal="left"/>
    </xf>
    <xf numFmtId="0" fontId="15" fillId="8" borderId="24" xfId="2" applyFont="1" applyFill="1" applyBorder="1" applyAlignment="1">
      <alignment horizontal="left"/>
    </xf>
    <xf numFmtId="0" fontId="15" fillId="8" borderId="25" xfId="2" applyFont="1" applyFill="1" applyBorder="1" applyAlignment="1">
      <alignment horizontal="left"/>
    </xf>
    <xf numFmtId="49" fontId="20" fillId="0" borderId="26" xfId="2" applyNumberFormat="1" applyFont="1" applyBorder="1" applyAlignment="1">
      <alignment horizontal="left"/>
    </xf>
    <xf numFmtId="49" fontId="20" fillId="0" borderId="27" xfId="2" applyNumberFormat="1" applyFont="1" applyBorder="1" applyAlignment="1">
      <alignment horizontal="left"/>
    </xf>
    <xf numFmtId="49" fontId="20" fillId="0" borderId="28" xfId="2" applyNumberFormat="1" applyFont="1" applyBorder="1" applyAlignment="1">
      <alignment horizontal="left"/>
    </xf>
    <xf numFmtId="49" fontId="20" fillId="0" borderId="29" xfId="2" applyNumberFormat="1" applyFont="1" applyBorder="1" applyAlignment="1">
      <alignment horizontal="left"/>
    </xf>
    <xf numFmtId="49" fontId="20" fillId="0" borderId="30" xfId="2" applyNumberFormat="1" applyFont="1" applyBorder="1" applyAlignment="1">
      <alignment horizontal="left"/>
    </xf>
    <xf numFmtId="49" fontId="20" fillId="0" borderId="36" xfId="2" applyNumberFormat="1" applyFont="1" applyBorder="1" applyAlignment="1">
      <alignment horizontal="left"/>
    </xf>
    <xf numFmtId="49" fontId="20" fillId="0" borderId="37" xfId="2" applyNumberFormat="1" applyFont="1" applyBorder="1" applyAlignment="1">
      <alignment horizontal="left"/>
    </xf>
    <xf numFmtId="49" fontId="20" fillId="0" borderId="38" xfId="2" applyNumberFormat="1" applyFont="1" applyBorder="1" applyAlignment="1">
      <alignment horizontal="left"/>
    </xf>
    <xf numFmtId="49" fontId="20" fillId="0" borderId="39" xfId="2" applyNumberFormat="1" applyFont="1" applyBorder="1" applyAlignment="1">
      <alignment horizontal="left"/>
    </xf>
    <xf numFmtId="49" fontId="20" fillId="0" borderId="40" xfId="2" applyNumberFormat="1" applyFont="1" applyBorder="1" applyAlignment="1">
      <alignment horizontal="left"/>
    </xf>
    <xf numFmtId="0" fontId="8" fillId="0" borderId="4" xfId="0" quotePrefix="1" applyFont="1" applyBorder="1" applyAlignment="1">
      <alignment horizontal="left" vertical="center"/>
    </xf>
    <xf numFmtId="0" fontId="8" fillId="0" borderId="5" xfId="0" quotePrefix="1" applyFont="1" applyBorder="1" applyAlignment="1">
      <alignment horizontal="left" vertical="center"/>
    </xf>
    <xf numFmtId="0" fontId="8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0" fillId="8" borderId="21" xfId="2" applyFont="1" applyFill="1" applyBorder="1" applyAlignment="1">
      <alignment horizontal="center"/>
    </xf>
    <xf numFmtId="0" fontId="20" fillId="8" borderId="22" xfId="2" applyFont="1" applyFill="1" applyBorder="1" applyAlignment="1">
      <alignment horizontal="center"/>
    </xf>
    <xf numFmtId="0" fontId="20" fillId="8" borderId="15" xfId="2" applyFont="1" applyFill="1" applyBorder="1" applyAlignment="1">
      <alignment horizontal="center"/>
    </xf>
    <xf numFmtId="0" fontId="20" fillId="8" borderId="16" xfId="2" applyFont="1" applyFill="1" applyBorder="1" applyAlignment="1">
      <alignment horizontal="center"/>
    </xf>
    <xf numFmtId="0" fontId="5" fillId="4" borderId="9" xfId="0" applyFont="1" applyFill="1" applyBorder="1" applyAlignment="1">
      <alignment vertical="center"/>
    </xf>
    <xf numFmtId="0" fontId="5" fillId="4" borderId="10" xfId="0" applyFont="1" applyFill="1" applyBorder="1" applyAlignment="1">
      <alignment vertical="center"/>
    </xf>
    <xf numFmtId="0" fontId="5" fillId="4" borderId="11" xfId="0" applyFont="1" applyFill="1" applyBorder="1" applyAlignment="1">
      <alignment vertical="center"/>
    </xf>
    <xf numFmtId="14" fontId="5" fillId="4" borderId="9" xfId="0" applyNumberFormat="1" applyFont="1" applyFill="1" applyBorder="1" applyAlignment="1">
      <alignment horizontal="center" vertical="center"/>
    </xf>
    <xf numFmtId="14" fontId="5" fillId="4" borderId="10" xfId="0" applyNumberFormat="1" applyFont="1" applyFill="1" applyBorder="1" applyAlignment="1">
      <alignment horizontal="center" vertical="center"/>
    </xf>
    <xf numFmtId="14" fontId="5" fillId="4" borderId="11" xfId="0" applyNumberFormat="1" applyFont="1" applyFill="1" applyBorder="1" applyAlignment="1">
      <alignment horizontal="center" vertical="center"/>
    </xf>
    <xf numFmtId="0" fontId="22" fillId="0" borderId="10" xfId="2" applyFont="1" applyBorder="1" applyAlignment="1">
      <alignment horizontal="left" vertical="center"/>
    </xf>
    <xf numFmtId="49" fontId="20" fillId="0" borderId="62" xfId="8" applyNumberFormat="1" applyFont="1" applyBorder="1" applyAlignment="1">
      <alignment horizontal="center" vertical="center"/>
    </xf>
    <xf numFmtId="49" fontId="20" fillId="0" borderId="5" xfId="8" applyNumberFormat="1" applyFont="1" applyBorder="1" applyAlignment="1">
      <alignment horizontal="center" vertical="center"/>
    </xf>
    <xf numFmtId="49" fontId="20" fillId="0" borderId="6" xfId="8" applyNumberFormat="1" applyFont="1" applyBorder="1" applyAlignment="1">
      <alignment horizontal="center" vertical="center"/>
    </xf>
    <xf numFmtId="49" fontId="20" fillId="0" borderId="33" xfId="8" applyNumberFormat="1" applyFont="1" applyBorder="1" applyAlignment="1">
      <alignment horizontal="center" vertical="center"/>
    </xf>
    <xf numFmtId="49" fontId="20" fillId="0" borderId="0" xfId="8" applyNumberFormat="1" applyFont="1" applyAlignment="1">
      <alignment horizontal="center" vertical="center"/>
    </xf>
    <xf numFmtId="49" fontId="20" fillId="0" borderId="8" xfId="8" applyNumberFormat="1" applyFont="1" applyBorder="1" applyAlignment="1">
      <alignment horizontal="center" vertical="center"/>
    </xf>
    <xf numFmtId="49" fontId="20" fillId="0" borderId="64" xfId="8" applyNumberFormat="1" applyFont="1" applyBorder="1" applyAlignment="1">
      <alignment horizontal="center" vertical="center"/>
    </xf>
    <xf numFmtId="49" fontId="20" fillId="0" borderId="65" xfId="8" applyNumberFormat="1" applyFont="1" applyBorder="1" applyAlignment="1">
      <alignment horizontal="center" vertical="center"/>
    </xf>
    <xf numFmtId="49" fontId="20" fillId="0" borderId="66" xfId="8" applyNumberFormat="1" applyFont="1" applyBorder="1" applyAlignment="1">
      <alignment horizontal="center" vertical="center"/>
    </xf>
    <xf numFmtId="49" fontId="20" fillId="0" borderId="4" xfId="2" applyNumberFormat="1" applyFont="1" applyBorder="1" applyAlignment="1">
      <alignment horizontal="center" vertical="center"/>
    </xf>
    <xf numFmtId="49" fontId="20" fillId="0" borderId="5" xfId="2" applyNumberFormat="1" applyFont="1" applyBorder="1" applyAlignment="1">
      <alignment horizontal="center" vertical="center"/>
    </xf>
    <xf numFmtId="49" fontId="20" fillId="0" borderId="6" xfId="2" applyNumberFormat="1" applyFont="1" applyBorder="1" applyAlignment="1">
      <alignment horizontal="center" vertical="center"/>
    </xf>
    <xf numFmtId="49" fontId="20" fillId="0" borderId="7" xfId="2" applyNumberFormat="1" applyFont="1" applyBorder="1" applyAlignment="1">
      <alignment horizontal="center" vertical="center"/>
    </xf>
    <xf numFmtId="49" fontId="20" fillId="0" borderId="0" xfId="2" applyNumberFormat="1" applyFont="1" applyAlignment="1">
      <alignment horizontal="center" vertical="center"/>
    </xf>
    <xf numFmtId="49" fontId="20" fillId="0" borderId="8" xfId="2" applyNumberFormat="1" applyFont="1" applyBorder="1" applyAlignment="1">
      <alignment horizontal="center" vertical="center"/>
    </xf>
    <xf numFmtId="49" fontId="20" fillId="0" borderId="67" xfId="2" applyNumberFormat="1" applyFont="1" applyBorder="1" applyAlignment="1">
      <alignment horizontal="center" vertical="center"/>
    </xf>
    <xf numFmtId="49" fontId="20" fillId="0" borderId="65" xfId="2" applyNumberFormat="1" applyFont="1" applyBorder="1" applyAlignment="1">
      <alignment horizontal="center" vertical="center"/>
    </xf>
    <xf numFmtId="49" fontId="20" fillId="0" borderId="66" xfId="2" applyNumberFormat="1" applyFont="1" applyBorder="1" applyAlignment="1">
      <alignment horizontal="center" vertical="center"/>
    </xf>
    <xf numFmtId="49" fontId="20" fillId="0" borderId="1" xfId="2" applyNumberFormat="1" applyFont="1" applyBorder="1" applyAlignment="1">
      <alignment horizontal="center" vertical="center"/>
    </xf>
    <xf numFmtId="49" fontId="20" fillId="0" borderId="2" xfId="2" applyNumberFormat="1" applyFont="1" applyBorder="1" applyAlignment="1">
      <alignment horizontal="center" vertical="center"/>
    </xf>
    <xf numFmtId="49" fontId="20" fillId="0" borderId="3" xfId="2" applyNumberFormat="1" applyFont="1" applyBorder="1" applyAlignment="1">
      <alignment horizontal="center" vertical="center"/>
    </xf>
    <xf numFmtId="49" fontId="20" fillId="0" borderId="45" xfId="2" applyNumberFormat="1" applyFont="1" applyBorder="1" applyAlignment="1">
      <alignment horizontal="center" vertical="center"/>
    </xf>
    <xf numFmtId="49" fontId="20" fillId="0" borderId="4" xfId="2" applyNumberFormat="1" applyFont="1" applyBorder="1" applyAlignment="1">
      <alignment horizontal="center" vertical="center" wrapText="1"/>
    </xf>
    <xf numFmtId="49" fontId="20" fillId="0" borderId="6" xfId="2" applyNumberFormat="1" applyFont="1" applyBorder="1" applyAlignment="1">
      <alignment horizontal="center" vertical="center" wrapText="1"/>
    </xf>
    <xf numFmtId="49" fontId="20" fillId="0" borderId="7" xfId="2" applyNumberFormat="1" applyFont="1" applyBorder="1" applyAlignment="1">
      <alignment horizontal="center" vertical="center" wrapText="1"/>
    </xf>
    <xf numFmtId="49" fontId="20" fillId="0" borderId="8" xfId="2" applyNumberFormat="1" applyFont="1" applyBorder="1" applyAlignment="1">
      <alignment horizontal="center" vertical="center" wrapText="1"/>
    </xf>
    <xf numFmtId="49" fontId="20" fillId="0" borderId="67" xfId="2" applyNumberFormat="1" applyFont="1" applyBorder="1" applyAlignment="1">
      <alignment horizontal="center" vertical="center" wrapText="1"/>
    </xf>
    <xf numFmtId="49" fontId="20" fillId="0" borderId="66" xfId="2" applyNumberFormat="1" applyFont="1" applyBorder="1" applyAlignment="1">
      <alignment horizontal="center" vertical="center" wrapText="1"/>
    </xf>
    <xf numFmtId="49" fontId="20" fillId="0" borderId="5" xfId="2" applyNumberFormat="1" applyFont="1" applyBorder="1" applyAlignment="1">
      <alignment horizontal="center" vertical="center" wrapText="1"/>
    </xf>
    <xf numFmtId="49" fontId="20" fillId="0" borderId="0" xfId="2" applyNumberFormat="1" applyFont="1" applyAlignment="1">
      <alignment horizontal="center" vertical="center" wrapText="1"/>
    </xf>
    <xf numFmtId="49" fontId="20" fillId="0" borderId="65" xfId="2" applyNumberFormat="1" applyFont="1" applyBorder="1" applyAlignment="1">
      <alignment horizontal="center" vertical="center" wrapText="1"/>
    </xf>
    <xf numFmtId="49" fontId="20" fillId="0" borderId="59" xfId="2" applyNumberFormat="1" applyFont="1" applyBorder="1" applyAlignment="1">
      <alignment horizontal="center" vertical="center" wrapText="1" shrinkToFit="1"/>
    </xf>
    <xf numFmtId="49" fontId="20" fillId="0" borderId="60" xfId="2" applyNumberFormat="1" applyFont="1" applyBorder="1" applyAlignment="1">
      <alignment horizontal="center" vertical="center" wrapText="1" shrinkToFit="1"/>
    </xf>
    <xf numFmtId="49" fontId="20" fillId="0" borderId="59" xfId="2" applyNumberFormat="1" applyFont="1" applyBorder="1" applyAlignment="1">
      <alignment horizontal="center" vertical="center"/>
    </xf>
    <xf numFmtId="49" fontId="20" fillId="0" borderId="60" xfId="2" applyNumberFormat="1" applyFont="1" applyBorder="1" applyAlignment="1">
      <alignment horizontal="center" vertical="center"/>
    </xf>
    <xf numFmtId="49" fontId="20" fillId="0" borderId="12" xfId="2" applyNumberFormat="1" applyFont="1" applyBorder="1" applyAlignment="1">
      <alignment horizontal="center" vertical="center"/>
    </xf>
    <xf numFmtId="49" fontId="20" fillId="0" borderId="1" xfId="2" applyNumberFormat="1" applyFont="1" applyBorder="1" applyAlignment="1">
      <alignment horizontal="center" vertical="center" wrapText="1"/>
    </xf>
    <xf numFmtId="49" fontId="20" fillId="0" borderId="2" xfId="2" applyNumberFormat="1" applyFont="1" applyBorder="1" applyAlignment="1">
      <alignment horizontal="center" vertical="center" wrapText="1"/>
    </xf>
    <xf numFmtId="49" fontId="20" fillId="0" borderId="3" xfId="2" applyNumberFormat="1" applyFont="1" applyBorder="1" applyAlignment="1">
      <alignment horizontal="center" vertical="center" wrapText="1"/>
    </xf>
    <xf numFmtId="49" fontId="20" fillId="0" borderId="63" xfId="2" applyNumberFormat="1" applyFont="1" applyBorder="1" applyAlignment="1">
      <alignment horizontal="center" vertical="center" wrapText="1"/>
    </xf>
    <xf numFmtId="49" fontId="20" fillId="0" borderId="32" xfId="2" applyNumberFormat="1" applyFont="1" applyBorder="1" applyAlignment="1">
      <alignment horizontal="center" vertical="center" wrapText="1"/>
    </xf>
    <xf numFmtId="49" fontId="20" fillId="0" borderId="68" xfId="2" applyNumberFormat="1" applyFont="1" applyBorder="1" applyAlignment="1">
      <alignment horizontal="center" vertical="center" wrapText="1"/>
    </xf>
    <xf numFmtId="49" fontId="20" fillId="0" borderId="72" xfId="2" applyNumberFormat="1" applyFont="1" applyBorder="1" applyAlignment="1">
      <alignment horizontal="left" vertical="center"/>
    </xf>
    <xf numFmtId="49" fontId="20" fillId="0" borderId="70" xfId="2" applyNumberFormat="1" applyFont="1" applyBorder="1" applyAlignment="1">
      <alignment horizontal="left" vertical="center"/>
    </xf>
    <xf numFmtId="49" fontId="20" fillId="0" borderId="71" xfId="2" applyNumberFormat="1" applyFont="1" applyBorder="1" applyAlignment="1">
      <alignment horizontal="left" vertical="center"/>
    </xf>
    <xf numFmtId="49" fontId="20" fillId="0" borderId="7" xfId="2" applyNumberFormat="1" applyFont="1" applyBorder="1" applyAlignment="1">
      <alignment horizontal="left" vertical="center"/>
    </xf>
    <xf numFmtId="49" fontId="20" fillId="0" borderId="0" xfId="2" applyNumberFormat="1" applyFont="1" applyAlignment="1">
      <alignment horizontal="left" vertical="center"/>
    </xf>
    <xf numFmtId="49" fontId="20" fillId="0" borderId="8" xfId="2" applyNumberFormat="1" applyFont="1" applyBorder="1" applyAlignment="1">
      <alignment horizontal="left" vertical="center"/>
    </xf>
    <xf numFmtId="49" fontId="20" fillId="0" borderId="9" xfId="2" applyNumberFormat="1" applyFont="1" applyBorder="1" applyAlignment="1">
      <alignment horizontal="left" vertical="center"/>
    </xf>
    <xf numFmtId="49" fontId="20" fillId="0" borderId="10" xfId="2" applyNumberFormat="1" applyFont="1" applyBorder="1" applyAlignment="1">
      <alignment horizontal="left" vertical="center"/>
    </xf>
    <xf numFmtId="49" fontId="20" fillId="0" borderId="11" xfId="2" applyNumberFormat="1" applyFont="1" applyBorder="1" applyAlignment="1">
      <alignment horizontal="left" vertical="center"/>
    </xf>
    <xf numFmtId="49" fontId="20" fillId="0" borderId="69" xfId="8" applyNumberFormat="1" applyFont="1" applyBorder="1" applyAlignment="1">
      <alignment horizontal="left" vertical="center"/>
    </xf>
    <xf numFmtId="49" fontId="20" fillId="0" borderId="70" xfId="8" applyNumberFormat="1" applyFont="1" applyBorder="1" applyAlignment="1">
      <alignment horizontal="left" vertical="center"/>
    </xf>
    <xf numFmtId="49" fontId="20" fillId="0" borderId="71" xfId="8" applyNumberFormat="1" applyFont="1" applyBorder="1" applyAlignment="1">
      <alignment horizontal="left" vertical="center"/>
    </xf>
    <xf numFmtId="49" fontId="20" fillId="0" borderId="33" xfId="8" applyNumberFormat="1" applyFont="1" applyBorder="1" applyAlignment="1">
      <alignment horizontal="left" vertical="center"/>
    </xf>
    <xf numFmtId="49" fontId="20" fillId="0" borderId="0" xfId="8" applyNumberFormat="1" applyFont="1" applyAlignment="1">
      <alignment horizontal="left" vertical="center"/>
    </xf>
    <xf numFmtId="49" fontId="20" fillId="0" borderId="8" xfId="8" applyNumberFormat="1" applyFont="1" applyBorder="1" applyAlignment="1">
      <alignment horizontal="left" vertical="center"/>
    </xf>
    <xf numFmtId="49" fontId="20" fillId="0" borderId="34" xfId="8" applyNumberFormat="1" applyFont="1" applyBorder="1" applyAlignment="1">
      <alignment horizontal="left" vertical="center"/>
    </xf>
    <xf numFmtId="49" fontId="20" fillId="0" borderId="10" xfId="8" applyNumberFormat="1" applyFont="1" applyBorder="1" applyAlignment="1">
      <alignment horizontal="left" vertical="center"/>
    </xf>
    <xf numFmtId="49" fontId="20" fillId="0" borderId="11" xfId="8" applyNumberFormat="1" applyFont="1" applyBorder="1" applyAlignment="1">
      <alignment horizontal="left" vertical="center"/>
    </xf>
    <xf numFmtId="49" fontId="20" fillId="0" borderId="72" xfId="8" applyNumberFormat="1" applyFont="1" applyBorder="1" applyAlignment="1">
      <alignment horizontal="left" vertical="center"/>
    </xf>
    <xf numFmtId="49" fontId="20" fillId="0" borderId="7" xfId="8" applyNumberFormat="1" applyFont="1" applyBorder="1" applyAlignment="1">
      <alignment horizontal="left" vertical="center"/>
    </xf>
    <xf numFmtId="49" fontId="20" fillId="0" borderId="9" xfId="8" applyNumberFormat="1" applyFont="1" applyBorder="1" applyAlignment="1">
      <alignment horizontal="left" vertical="center"/>
    </xf>
    <xf numFmtId="49" fontId="20" fillId="0" borderId="59" xfId="2" applyNumberFormat="1" applyFont="1" applyBorder="1" applyAlignment="1">
      <alignment horizontal="center" vertical="center" wrapText="1"/>
    </xf>
    <xf numFmtId="49" fontId="20" fillId="0" borderId="73" xfId="2" applyNumberFormat="1" applyFont="1" applyBorder="1" applyAlignment="1">
      <alignment horizontal="left" vertical="center"/>
    </xf>
    <xf numFmtId="49" fontId="20" fillId="0" borderId="32" xfId="2" applyNumberFormat="1" applyFont="1" applyBorder="1" applyAlignment="1">
      <alignment horizontal="left" vertical="center"/>
    </xf>
    <xf numFmtId="49" fontId="20" fillId="0" borderId="35" xfId="2" applyNumberFormat="1" applyFont="1" applyBorder="1" applyAlignment="1">
      <alignment horizontal="left" vertical="center"/>
    </xf>
    <xf numFmtId="49" fontId="20" fillId="0" borderId="1" xfId="2" applyNumberFormat="1" applyFont="1" applyBorder="1" applyAlignment="1">
      <alignment horizontal="left" vertical="top" wrapText="1"/>
    </xf>
    <xf numFmtId="49" fontId="20" fillId="0" borderId="2" xfId="2" applyNumberFormat="1" applyFont="1" applyBorder="1" applyAlignment="1">
      <alignment horizontal="left" vertical="top" wrapText="1"/>
    </xf>
    <xf numFmtId="49" fontId="20" fillId="0" borderId="45" xfId="2" applyNumberFormat="1" applyFont="1" applyBorder="1" applyAlignment="1">
      <alignment horizontal="left" vertical="top" wrapText="1"/>
    </xf>
    <xf numFmtId="49" fontId="20" fillId="0" borderId="23" xfId="2" applyNumberFormat="1" applyFont="1" applyBorder="1" applyAlignment="1">
      <alignment horizontal="left" vertical="top" wrapText="1"/>
    </xf>
    <xf numFmtId="49" fontId="20" fillId="0" borderId="24" xfId="2" applyNumberFormat="1" applyFont="1" applyBorder="1" applyAlignment="1">
      <alignment horizontal="left" vertical="top" wrapText="1"/>
    </xf>
    <xf numFmtId="49" fontId="20" fillId="0" borderId="25" xfId="2" applyNumberFormat="1" applyFont="1" applyBorder="1" applyAlignment="1">
      <alignment horizontal="left" vertical="top" wrapText="1"/>
    </xf>
    <xf numFmtId="49" fontId="30" fillId="0" borderId="1" xfId="2" applyNumberFormat="1" applyFont="1" applyBorder="1" applyAlignment="1">
      <alignment horizontal="left" vertical="top" wrapText="1"/>
    </xf>
    <xf numFmtId="49" fontId="30" fillId="0" borderId="2" xfId="2" applyNumberFormat="1" applyFont="1" applyBorder="1" applyAlignment="1">
      <alignment horizontal="left" vertical="top" wrapText="1"/>
    </xf>
    <xf numFmtId="49" fontId="30" fillId="0" borderId="45" xfId="2" applyNumberFormat="1" applyFont="1" applyBorder="1" applyAlignment="1">
      <alignment horizontal="left" vertical="top" wrapText="1"/>
    </xf>
    <xf numFmtId="0" fontId="20" fillId="0" borderId="15" xfId="2" applyFont="1" applyBorder="1" applyAlignment="1">
      <alignment horizontal="center"/>
    </xf>
    <xf numFmtId="0" fontId="20" fillId="0" borderId="16" xfId="2" applyFont="1" applyBorder="1" applyAlignment="1">
      <alignment horizontal="center"/>
    </xf>
    <xf numFmtId="0" fontId="20" fillId="0" borderId="74" xfId="2" applyFont="1" applyBorder="1" applyAlignment="1">
      <alignment horizontal="center"/>
    </xf>
    <xf numFmtId="0" fontId="20" fillId="0" borderId="13" xfId="2" applyFont="1" applyBorder="1" applyAlignment="1">
      <alignment horizontal="center"/>
    </xf>
    <xf numFmtId="0" fontId="20" fillId="0" borderId="4" xfId="2" applyFont="1" applyBorder="1" applyAlignment="1">
      <alignment horizontal="left"/>
    </xf>
    <xf numFmtId="0" fontId="20" fillId="0" borderId="5" xfId="2" applyFont="1" applyBorder="1" applyAlignment="1">
      <alignment horizontal="left"/>
    </xf>
    <xf numFmtId="0" fontId="20" fillId="0" borderId="63" xfId="2" applyFont="1" applyBorder="1" applyAlignment="1">
      <alignment horizontal="left"/>
    </xf>
  </cellXfs>
  <cellStyles count="9">
    <cellStyle name="標準" xfId="0" builtinId="0"/>
    <cellStyle name="標準 2" xfId="1" xr:uid="{8A002B5F-50EF-46F3-8AE6-0953846D0473}"/>
    <cellStyle name="標準 3" xfId="4" xr:uid="{4B7EAA47-FAFF-442B-B83C-3EB3D611BB78}"/>
    <cellStyle name="標準 3 2" xfId="5" xr:uid="{90431627-719F-4186-9A46-6CD280B45E33}"/>
    <cellStyle name="標準 3 2 2" xfId="6" xr:uid="{A2BBB3AD-6FD6-48E1-AD00-72E1F5D92D41}"/>
    <cellStyle name="標準 3 3" xfId="7" xr:uid="{868F3F84-FB01-4BD9-A222-10682C4928A0}"/>
    <cellStyle name="標準_0001_基本フォーマット" xfId="2" xr:uid="{6399BE8C-7BB1-445D-BAA5-EBB989B6D156}"/>
    <cellStyle name="標準_１．業務処理内容説明書" xfId="3" xr:uid="{5B6F75DE-4232-455C-868A-E706861828FC}"/>
    <cellStyle name="標準_パラメータ設計書" xfId="8" xr:uid="{149DD61F-0B33-4EED-B7C5-454C704583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53788</xdr:colOff>
      <xdr:row>0</xdr:row>
      <xdr:rowOff>26894</xdr:rowOff>
    </xdr:from>
    <xdr:to>
      <xdr:col>5</xdr:col>
      <xdr:colOff>310091</xdr:colOff>
      <xdr:row>1</xdr:row>
      <xdr:rowOff>2657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8D5EE99-041E-4928-8F90-C21170472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788" y="26894"/>
          <a:ext cx="3618068" cy="2088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234045</xdr:colOff>
      <xdr:row>16</xdr:row>
      <xdr:rowOff>106136</xdr:rowOff>
    </xdr:from>
    <xdr:to>
      <xdr:col>30</xdr:col>
      <xdr:colOff>107899</xdr:colOff>
      <xdr:row>26</xdr:row>
      <xdr:rowOff>92529</xdr:rowOff>
    </xdr:to>
    <xdr:sp macro="" textlink="">
      <xdr:nvSpPr>
        <xdr:cNvPr id="56" name="正方形/長方形 55">
          <a:extLst>
            <a:ext uri="{FF2B5EF4-FFF2-40B4-BE49-F238E27FC236}">
              <a16:creationId xmlns:a16="http://schemas.microsoft.com/office/drawing/2014/main" id="{8AC601CE-70A5-D7C8-667A-30DF34128E2B}"/>
            </a:ext>
          </a:extLst>
        </xdr:cNvPr>
        <xdr:cNvSpPr/>
      </xdr:nvSpPr>
      <xdr:spPr>
        <a:xfrm>
          <a:off x="5377545" y="3575957"/>
          <a:ext cx="3139568" cy="1755322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304660</xdr:colOff>
      <xdr:row>37</xdr:row>
      <xdr:rowOff>27494</xdr:rowOff>
    </xdr:from>
    <xdr:to>
      <xdr:col>9</xdr:col>
      <xdr:colOff>32518</xdr:colOff>
      <xdr:row>38</xdr:row>
      <xdr:rowOff>65594</xdr:rowOff>
    </xdr:to>
    <xdr:sp macro="" textlink="">
      <xdr:nvSpPr>
        <xdr:cNvPr id="3" name="Text Box 19">
          <a:extLst>
            <a:ext uri="{FF2B5EF4-FFF2-40B4-BE49-F238E27FC236}">
              <a16:creationId xmlns:a16="http://schemas.microsoft.com/office/drawing/2014/main" id="{E6412391-B813-4F48-8038-681B1E263FE0}"/>
            </a:ext>
          </a:extLst>
        </xdr:cNvPr>
        <xdr:cNvSpPr txBox="1">
          <a:spLocks noChangeArrowheads="1"/>
        </xdr:cNvSpPr>
      </xdr:nvSpPr>
      <xdr:spPr bwMode="auto">
        <a:xfrm>
          <a:off x="1937517" y="8039380"/>
          <a:ext cx="794658" cy="2231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overflow" horzOverflow="overflow" wrap="none" lIns="18288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バッチ</a:t>
          </a:r>
        </a:p>
      </xdr:txBody>
    </xdr:sp>
    <xdr:clientData/>
  </xdr:twoCellAnchor>
  <xdr:twoCellAnchor>
    <xdr:from>
      <xdr:col>3</xdr:col>
      <xdr:colOff>34839</xdr:colOff>
      <xdr:row>36</xdr:row>
      <xdr:rowOff>63521</xdr:rowOff>
    </xdr:from>
    <xdr:to>
      <xdr:col>6</xdr:col>
      <xdr:colOff>247511</xdr:colOff>
      <xdr:row>38</xdr:row>
      <xdr:rowOff>171388</xdr:rowOff>
    </xdr:to>
    <xdr:sp macro="" textlink="">
      <xdr:nvSpPr>
        <xdr:cNvPr id="4" name="Rectangle 20">
          <a:extLst>
            <a:ext uri="{FF2B5EF4-FFF2-40B4-BE49-F238E27FC236}">
              <a16:creationId xmlns:a16="http://schemas.microsoft.com/office/drawing/2014/main" id="{A3516331-790D-4B2B-873E-B328DF0AE030}"/>
            </a:ext>
          </a:extLst>
        </xdr:cNvPr>
        <xdr:cNvSpPr>
          <a:spLocks noChangeArrowheads="1"/>
        </xdr:cNvSpPr>
      </xdr:nvSpPr>
      <xdr:spPr bwMode="auto">
        <a:xfrm>
          <a:off x="851268" y="7890350"/>
          <a:ext cx="1029100" cy="477981"/>
        </a:xfrm>
        <a:prstGeom prst="rect">
          <a:avLst/>
        </a:prstGeom>
        <a:solidFill>
          <a:srgbClr val="FFFFFF"/>
        </a:solidFill>
        <a:ln w="9525">
          <a:solidFill>
            <a:sysClr val="windowText" lastClr="000000"/>
          </a:solidFill>
          <a:miter lim="800000"/>
          <a:headEnd/>
          <a:tailEnd/>
        </a:ln>
      </xdr:spPr>
      <xdr:txBody>
        <a:bodyPr vertOverflow="overflow" horzOverflow="overflow" wrap="none" lIns="27432" tIns="18288" rIns="0" bIns="0" anchor="t" upright="1">
          <a:noAutofit/>
        </a:bodyPr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バッチ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endParaRPr lang="ja-JP" altLang="en-US" sz="800" b="0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バッチ名</a:t>
          </a:r>
        </a:p>
      </xdr:txBody>
    </xdr:sp>
    <xdr:clientData/>
  </xdr:twoCellAnchor>
  <xdr:twoCellAnchor>
    <xdr:from>
      <xdr:col>16</xdr:col>
      <xdr:colOff>2183</xdr:colOff>
      <xdr:row>36</xdr:row>
      <xdr:rowOff>90736</xdr:rowOff>
    </xdr:from>
    <xdr:to>
      <xdr:col>19</xdr:col>
      <xdr:colOff>214855</xdr:colOff>
      <xdr:row>38</xdr:row>
      <xdr:rowOff>168843</xdr:rowOff>
    </xdr:to>
    <xdr:sp macro="" textlink="">
      <xdr:nvSpPr>
        <xdr:cNvPr id="5" name="AutoShape 22">
          <a:extLst>
            <a:ext uri="{FF2B5EF4-FFF2-40B4-BE49-F238E27FC236}">
              <a16:creationId xmlns:a16="http://schemas.microsoft.com/office/drawing/2014/main" id="{1895B1A3-31C6-43DA-A712-E73915B4B317}"/>
            </a:ext>
          </a:extLst>
        </xdr:cNvPr>
        <xdr:cNvSpPr>
          <a:spLocks noChangeArrowheads="1"/>
        </xdr:cNvSpPr>
      </xdr:nvSpPr>
      <xdr:spPr bwMode="auto">
        <a:xfrm>
          <a:off x="4606840" y="7917565"/>
          <a:ext cx="1029101" cy="448221"/>
        </a:xfrm>
        <a:prstGeom prst="roundRect">
          <a:avLst>
            <a:gd name="adj" fmla="val 16667"/>
          </a:avLst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  <xdr:txBody>
        <a:bodyPr vertOverflow="overflow" horzOverflow="overflow" wrap="none" lIns="0" tIns="0">
          <a:noAutofit/>
        </a:bodyPr>
        <a:lstStyle/>
        <a:p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システム名</a:t>
          </a:r>
        </a:p>
      </xdr:txBody>
    </xdr:sp>
    <xdr:clientData/>
  </xdr:twoCellAnchor>
  <xdr:twoCellAnchor>
    <xdr:from>
      <xdr:col>19</xdr:col>
      <xdr:colOff>214855</xdr:colOff>
      <xdr:row>37</xdr:row>
      <xdr:rowOff>49986</xdr:rowOff>
    </xdr:from>
    <xdr:to>
      <xdr:col>23</xdr:col>
      <xdr:colOff>208739</xdr:colOff>
      <xdr:row>38</xdr:row>
      <xdr:rowOff>89081</xdr:rowOff>
    </xdr:to>
    <xdr:sp macro="" textlink="">
      <xdr:nvSpPr>
        <xdr:cNvPr id="6" name="Text Box 23">
          <a:extLst>
            <a:ext uri="{FF2B5EF4-FFF2-40B4-BE49-F238E27FC236}">
              <a16:creationId xmlns:a16="http://schemas.microsoft.com/office/drawing/2014/main" id="{A0B57890-1220-473A-A695-E466648542BD}"/>
            </a:ext>
          </a:extLst>
        </xdr:cNvPr>
        <xdr:cNvSpPr txBox="1">
          <a:spLocks noChangeArrowheads="1"/>
        </xdr:cNvSpPr>
      </xdr:nvSpPr>
      <xdr:spPr bwMode="auto">
        <a:xfrm>
          <a:off x="5635941" y="8061872"/>
          <a:ext cx="1082455" cy="2241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overflow" horzOverflow="overflow" wrap="none" lIns="18288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他システム</a:t>
          </a:r>
        </a:p>
      </xdr:txBody>
    </xdr:sp>
    <xdr:clientData/>
  </xdr:twoCellAnchor>
  <xdr:twoCellAnchor>
    <xdr:from>
      <xdr:col>8</xdr:col>
      <xdr:colOff>266977</xdr:colOff>
      <xdr:row>36</xdr:row>
      <xdr:rowOff>66339</xdr:rowOff>
    </xdr:from>
    <xdr:to>
      <xdr:col>12</xdr:col>
      <xdr:colOff>255131</xdr:colOff>
      <xdr:row>38</xdr:row>
      <xdr:rowOff>174204</xdr:rowOff>
    </xdr:to>
    <xdr:sp macro="" textlink="">
      <xdr:nvSpPr>
        <xdr:cNvPr id="7" name="AutoShape 139">
          <a:extLst>
            <a:ext uri="{FF2B5EF4-FFF2-40B4-BE49-F238E27FC236}">
              <a16:creationId xmlns:a16="http://schemas.microsoft.com/office/drawing/2014/main" id="{E6E2DA94-3BC7-4DEA-8576-B142BB8EAC00}"/>
            </a:ext>
          </a:extLst>
        </xdr:cNvPr>
        <xdr:cNvSpPr>
          <a:spLocks noChangeArrowheads="1"/>
        </xdr:cNvSpPr>
      </xdr:nvSpPr>
      <xdr:spPr bwMode="auto">
        <a:xfrm>
          <a:off x="2694491" y="7893168"/>
          <a:ext cx="1076726" cy="477979"/>
        </a:xfrm>
        <a:prstGeom prst="flowChartOnlineStorage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overflow" horzOverflow="overflow" wrap="none" lIns="27432" tIns="18288" rIns="0" bIns="18288" anchor="ctr" upright="1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ファイル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endParaRPr lang="ja-JP" altLang="en-US" sz="800" b="0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ファイル名</a:t>
          </a:r>
        </a:p>
      </xdr:txBody>
    </xdr:sp>
    <xdr:clientData/>
  </xdr:twoCellAnchor>
  <xdr:twoCellAnchor>
    <xdr:from>
      <xdr:col>12</xdr:col>
      <xdr:colOff>255131</xdr:colOff>
      <xdr:row>37</xdr:row>
      <xdr:rowOff>23678</xdr:rowOff>
    </xdr:from>
    <xdr:to>
      <xdr:col>14</xdr:col>
      <xdr:colOff>207779</xdr:colOff>
      <xdr:row>38</xdr:row>
      <xdr:rowOff>27743</xdr:rowOff>
    </xdr:to>
    <xdr:sp macro="" textlink="">
      <xdr:nvSpPr>
        <xdr:cNvPr id="8" name="Text Box 142">
          <a:extLst>
            <a:ext uri="{FF2B5EF4-FFF2-40B4-BE49-F238E27FC236}">
              <a16:creationId xmlns:a16="http://schemas.microsoft.com/office/drawing/2014/main" id="{73E5444B-16F2-4DD3-A5BB-84AD4C34D9D3}"/>
            </a:ext>
          </a:extLst>
        </xdr:cNvPr>
        <xdr:cNvSpPr txBox="1">
          <a:spLocks noChangeArrowheads="1"/>
        </xdr:cNvSpPr>
      </xdr:nvSpPr>
      <xdr:spPr bwMode="auto">
        <a:xfrm>
          <a:off x="3771217" y="8035564"/>
          <a:ext cx="496933" cy="1891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overflow" horzOverflow="overflow" wrap="none" lIns="18288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ファイル</a:t>
          </a:r>
        </a:p>
      </xdr:txBody>
    </xdr:sp>
    <xdr:clientData/>
  </xdr:twoCellAnchor>
  <xdr:twoCellAnchor>
    <xdr:from>
      <xdr:col>1</xdr:col>
      <xdr:colOff>75599</xdr:colOff>
      <xdr:row>31</xdr:row>
      <xdr:rowOff>93529</xdr:rowOff>
    </xdr:from>
    <xdr:to>
      <xdr:col>43</xdr:col>
      <xdr:colOff>132748</xdr:colOff>
      <xdr:row>40</xdr:row>
      <xdr:rowOff>55429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E29F0A5A-5C92-4570-BDC8-194A0101DC30}"/>
            </a:ext>
          </a:extLst>
        </xdr:cNvPr>
        <xdr:cNvSpPr/>
      </xdr:nvSpPr>
      <xdr:spPr>
        <a:xfrm>
          <a:off x="294674" y="3332029"/>
          <a:ext cx="10229849" cy="1504950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noAutofit/>
        </a:bodyPr>
        <a:lstStyle/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31</xdr:row>
      <xdr:rowOff>0</xdr:rowOff>
    </xdr:from>
    <xdr:to>
      <xdr:col>3</xdr:col>
      <xdr:colOff>96471</xdr:colOff>
      <xdr:row>32</xdr:row>
      <xdr:rowOff>95516</xdr:rowOff>
    </xdr:to>
    <xdr:sp macro="" textlink="">
      <xdr:nvSpPr>
        <xdr:cNvPr id="11" name="Text Box 7">
          <a:extLst>
            <a:ext uri="{FF2B5EF4-FFF2-40B4-BE49-F238E27FC236}">
              <a16:creationId xmlns:a16="http://schemas.microsoft.com/office/drawing/2014/main" id="{7DB0FDDD-C271-4A7E-AD5A-51ABEE472C2A}"/>
            </a:ext>
          </a:extLst>
        </xdr:cNvPr>
        <xdr:cNvSpPr txBox="1">
          <a:spLocks noChangeArrowheads="1"/>
        </xdr:cNvSpPr>
      </xdr:nvSpPr>
      <xdr:spPr bwMode="auto">
        <a:xfrm>
          <a:off x="219075" y="3238500"/>
          <a:ext cx="534621" cy="266966"/>
        </a:xfrm>
        <a:prstGeom prst="rect">
          <a:avLst/>
        </a:prstGeom>
        <a:solidFill>
          <a:sysClr val="window" lastClr="FFFFFF"/>
        </a:solidFill>
        <a:ln>
          <a:noFill/>
        </a:ln>
      </xdr:spPr>
      <xdr:txBody>
        <a:bodyPr vertOverflow="overflow" horzOverflow="overflow" wrap="none" lIns="27432" tIns="18288" rIns="0" bIns="0" anchor="ctr" upright="1">
          <a:noAutofit/>
        </a:bodyPr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&lt;&lt;凡例&gt;&gt;</a:t>
          </a:r>
        </a:p>
      </xdr:txBody>
    </xdr:sp>
    <xdr:clientData/>
  </xdr:twoCellAnchor>
  <xdr:twoCellAnchor>
    <xdr:from>
      <xdr:col>11</xdr:col>
      <xdr:colOff>67555</xdr:colOff>
      <xdr:row>10</xdr:row>
      <xdr:rowOff>157010</xdr:rowOff>
    </xdr:from>
    <xdr:to>
      <xdr:col>18</xdr:col>
      <xdr:colOff>233021</xdr:colOff>
      <xdr:row>15</xdr:row>
      <xdr:rowOff>47627</xdr:rowOff>
    </xdr:to>
    <xdr:sp macro="" textlink="">
      <xdr:nvSpPr>
        <xdr:cNvPr id="17" name="Rectangle 20">
          <a:extLst>
            <a:ext uri="{FF2B5EF4-FFF2-40B4-BE49-F238E27FC236}">
              <a16:creationId xmlns:a16="http://schemas.microsoft.com/office/drawing/2014/main" id="{75CA2377-8249-40E3-B720-66FDEDEDF1FF}"/>
            </a:ext>
          </a:extLst>
        </xdr:cNvPr>
        <xdr:cNvSpPr>
          <a:spLocks noChangeArrowheads="1"/>
        </xdr:cNvSpPr>
      </xdr:nvSpPr>
      <xdr:spPr bwMode="auto">
        <a:xfrm>
          <a:off x="3317961" y="2502541"/>
          <a:ext cx="2082373" cy="783586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>
          <a:solidFill>
            <a:sysClr val="windowText" lastClr="000000"/>
          </a:solidFill>
          <a:miter lim="800000"/>
          <a:headEnd/>
          <a:tailEnd/>
        </a:ln>
      </xdr:spPr>
      <xdr:txBody>
        <a:bodyPr vertOverflow="overflow" horzOverflow="overflow" wrap="none" lIns="27432" tIns="18288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BLMMVMVBUILDING</a:t>
          </a:r>
          <a:br>
            <a:rPr lang="en-US" altLang="ja-JP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lang="ja-JP" altLang="en-US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顧客情報と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30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分値データの連携機能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57450</xdr:colOff>
      <xdr:row>0</xdr:row>
      <xdr:rowOff>208845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AFD307C2-1AD1-4E66-8E17-D9B67816B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618068" cy="20884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33</xdr:row>
      <xdr:rowOff>47183</xdr:rowOff>
    </xdr:from>
    <xdr:to>
      <xdr:col>6</xdr:col>
      <xdr:colOff>261257</xdr:colOff>
      <xdr:row>33</xdr:row>
      <xdr:rowOff>177811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433075B9-27A5-4CC9-835E-8E689FA97EE1}"/>
            </a:ext>
          </a:extLst>
        </xdr:cNvPr>
        <xdr:cNvSpPr/>
      </xdr:nvSpPr>
      <xdr:spPr>
        <a:xfrm>
          <a:off x="816429" y="7318840"/>
          <a:ext cx="1077685" cy="130628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293774</xdr:colOff>
      <xdr:row>33</xdr:row>
      <xdr:rowOff>0</xdr:rowOff>
    </xdr:from>
    <xdr:to>
      <xdr:col>8</xdr:col>
      <xdr:colOff>43403</xdr:colOff>
      <xdr:row>34</xdr:row>
      <xdr:rowOff>48985</xdr:rowOff>
    </xdr:to>
    <xdr:sp macro="" textlink="">
      <xdr:nvSpPr>
        <xdr:cNvPr id="54" name="Text Box 19">
          <a:extLst>
            <a:ext uri="{FF2B5EF4-FFF2-40B4-BE49-F238E27FC236}">
              <a16:creationId xmlns:a16="http://schemas.microsoft.com/office/drawing/2014/main" id="{79136654-FA1C-451F-A318-33DA8A018D09}"/>
            </a:ext>
          </a:extLst>
        </xdr:cNvPr>
        <xdr:cNvSpPr txBox="1">
          <a:spLocks noChangeArrowheads="1"/>
        </xdr:cNvSpPr>
      </xdr:nvSpPr>
      <xdr:spPr bwMode="auto">
        <a:xfrm>
          <a:off x="1926631" y="7271657"/>
          <a:ext cx="544286" cy="2340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overflow" horzOverflow="overflow" wrap="none" lIns="18288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本設計対象範囲</a:t>
          </a:r>
        </a:p>
      </xdr:txBody>
    </xdr:sp>
    <xdr:clientData/>
  </xdr:twoCellAnchor>
  <xdr:twoCellAnchor>
    <xdr:from>
      <xdr:col>23</xdr:col>
      <xdr:colOff>54429</xdr:colOff>
      <xdr:row>36</xdr:row>
      <xdr:rowOff>43542</xdr:rowOff>
    </xdr:from>
    <xdr:to>
      <xdr:col>26</xdr:col>
      <xdr:colOff>17618</xdr:colOff>
      <xdr:row>39</xdr:row>
      <xdr:rowOff>66998</xdr:rowOff>
    </xdr:to>
    <xdr:sp macro="" textlink="">
      <xdr:nvSpPr>
        <xdr:cNvPr id="2" name="AutoShape 140">
          <a:extLst>
            <a:ext uri="{FF2B5EF4-FFF2-40B4-BE49-F238E27FC236}">
              <a16:creationId xmlns:a16="http://schemas.microsoft.com/office/drawing/2014/main" id="{806588C4-3D27-4C64-B906-3D213899B934}"/>
            </a:ext>
          </a:extLst>
        </xdr:cNvPr>
        <xdr:cNvSpPr>
          <a:spLocks noChangeArrowheads="1"/>
        </xdr:cNvSpPr>
      </xdr:nvSpPr>
      <xdr:spPr bwMode="auto">
        <a:xfrm>
          <a:off x="6564086" y="7870371"/>
          <a:ext cx="779618" cy="578627"/>
        </a:xfrm>
        <a:prstGeom prst="flowChartMagneticDisk">
          <a:avLst/>
        </a:prstGeom>
        <a:solidFill>
          <a:schemeClr val="bg1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none" lIns="0" tIns="0" rIns="0" bIns="0" anchor="t" upright="1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ja-JP" altLang="en-US" sz="8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テーブル名</a:t>
          </a:r>
        </a:p>
      </xdr:txBody>
    </xdr:sp>
    <xdr:clientData/>
  </xdr:twoCellAnchor>
  <xdr:twoCellAnchor>
    <xdr:from>
      <xdr:col>26</xdr:col>
      <xdr:colOff>146459</xdr:colOff>
      <xdr:row>36</xdr:row>
      <xdr:rowOff>163180</xdr:rowOff>
    </xdr:from>
    <xdr:to>
      <xdr:col>28</xdr:col>
      <xdr:colOff>95162</xdr:colOff>
      <xdr:row>37</xdr:row>
      <xdr:rowOff>178131</xdr:rowOff>
    </xdr:to>
    <xdr:sp macro="" textlink="">
      <xdr:nvSpPr>
        <xdr:cNvPr id="9" name="Text Box 142">
          <a:extLst>
            <a:ext uri="{FF2B5EF4-FFF2-40B4-BE49-F238E27FC236}">
              <a16:creationId xmlns:a16="http://schemas.microsoft.com/office/drawing/2014/main" id="{5E9EFD97-8EAF-45D7-B095-A1ABA4D894F4}"/>
            </a:ext>
          </a:extLst>
        </xdr:cNvPr>
        <xdr:cNvSpPr txBox="1">
          <a:spLocks noChangeArrowheads="1"/>
        </xdr:cNvSpPr>
      </xdr:nvSpPr>
      <xdr:spPr bwMode="auto">
        <a:xfrm>
          <a:off x="7472545" y="7990009"/>
          <a:ext cx="492988" cy="2000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overflow" horzOverflow="overflow" wrap="none" lIns="18288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テーブル名</a:t>
          </a:r>
        </a:p>
      </xdr:txBody>
    </xdr:sp>
    <xdr:clientData/>
  </xdr:twoCellAnchor>
  <xdr:twoCellAnchor>
    <xdr:from>
      <xdr:col>15</xdr:col>
      <xdr:colOff>13367</xdr:colOff>
      <xdr:row>15</xdr:row>
      <xdr:rowOff>47627</xdr:rowOff>
    </xdr:from>
    <xdr:to>
      <xdr:col>18</xdr:col>
      <xdr:colOff>234045</xdr:colOff>
      <xdr:row>21</xdr:row>
      <xdr:rowOff>99332</xdr:rowOff>
    </xdr:to>
    <xdr:cxnSp macro="">
      <xdr:nvCxnSpPr>
        <xdr:cNvPr id="63" name="コネクタ: カギ線 62">
          <a:extLst>
            <a:ext uri="{FF2B5EF4-FFF2-40B4-BE49-F238E27FC236}">
              <a16:creationId xmlns:a16="http://schemas.microsoft.com/office/drawing/2014/main" id="{E41674F0-C9C4-48D4-8FD6-8D3A81C4785C}"/>
            </a:ext>
          </a:extLst>
        </xdr:cNvPr>
        <xdr:cNvCxnSpPr>
          <a:cxnSpLocks/>
          <a:stCxn id="17" idx="2"/>
          <a:endCxn id="56" idx="1"/>
        </xdr:cNvCxnSpPr>
      </xdr:nvCxnSpPr>
      <xdr:spPr>
        <a:xfrm rot="16200000" flipH="1">
          <a:off x="4318619" y="3326656"/>
          <a:ext cx="1123268" cy="1042210"/>
        </a:xfrm>
        <a:prstGeom prst="bentConnector2">
          <a:avLst/>
        </a:prstGeom>
        <a:ln w="9525">
          <a:solidFill>
            <a:sysClr val="windowText" lastClr="00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108857</xdr:colOff>
      <xdr:row>21</xdr:row>
      <xdr:rowOff>87090</xdr:rowOff>
    </xdr:from>
    <xdr:to>
      <xdr:col>22</xdr:col>
      <xdr:colOff>257825</xdr:colOff>
      <xdr:row>25</xdr:row>
      <xdr:rowOff>25918</xdr:rowOff>
    </xdr:to>
    <xdr:sp macro="" textlink="">
      <xdr:nvSpPr>
        <xdr:cNvPr id="21" name="AutoShape 140">
          <a:extLst>
            <a:ext uri="{FF2B5EF4-FFF2-40B4-BE49-F238E27FC236}">
              <a16:creationId xmlns:a16="http://schemas.microsoft.com/office/drawing/2014/main" id="{C971C595-50FE-4276-8F98-6A3122FED5E7}"/>
            </a:ext>
          </a:extLst>
        </xdr:cNvPr>
        <xdr:cNvSpPr>
          <a:spLocks noChangeArrowheads="1"/>
        </xdr:cNvSpPr>
      </xdr:nvSpPr>
      <xdr:spPr bwMode="auto">
        <a:xfrm>
          <a:off x="5524500" y="4441376"/>
          <a:ext cx="965396" cy="646399"/>
        </a:xfrm>
        <a:prstGeom prst="flowChartMagneticDisk">
          <a:avLst/>
        </a:prstGeom>
        <a:solidFill>
          <a:schemeClr val="bg1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none" lIns="0" tIns="0" rIns="0" bIns="0" anchor="t" upright="1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30</a:t>
          </a: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分値生データ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情報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40821</xdr:colOff>
      <xdr:row>17</xdr:row>
      <xdr:rowOff>28127</xdr:rowOff>
    </xdr:from>
    <xdr:to>
      <xdr:col>22</xdr:col>
      <xdr:colOff>189789</xdr:colOff>
      <xdr:row>20</xdr:row>
      <xdr:rowOff>143847</xdr:rowOff>
    </xdr:to>
    <xdr:sp macro="" textlink="">
      <xdr:nvSpPr>
        <xdr:cNvPr id="22" name="AutoShape 140">
          <a:extLst>
            <a:ext uri="{FF2B5EF4-FFF2-40B4-BE49-F238E27FC236}">
              <a16:creationId xmlns:a16="http://schemas.microsoft.com/office/drawing/2014/main" id="{E908026D-6C44-46C6-BFCD-7DB5F2C4AB2A}"/>
            </a:ext>
          </a:extLst>
        </xdr:cNvPr>
        <xdr:cNvSpPr>
          <a:spLocks noChangeArrowheads="1"/>
        </xdr:cNvSpPr>
      </xdr:nvSpPr>
      <xdr:spPr bwMode="auto">
        <a:xfrm>
          <a:off x="5456464" y="3674841"/>
          <a:ext cx="965396" cy="646399"/>
        </a:xfrm>
        <a:prstGeom prst="flowChartMagneticDisk">
          <a:avLst/>
        </a:prstGeom>
        <a:solidFill>
          <a:schemeClr val="bg1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none" lIns="0" tIns="0" rIns="0" bIns="0" anchor="t" upright="1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建物マスタ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22</xdr:col>
      <xdr:colOff>206375</xdr:colOff>
      <xdr:row>17</xdr:row>
      <xdr:rowOff>41733</xdr:rowOff>
    </xdr:from>
    <xdr:to>
      <xdr:col>26</xdr:col>
      <xdr:colOff>80932</xdr:colOff>
      <xdr:row>20</xdr:row>
      <xdr:rowOff>157453</xdr:rowOff>
    </xdr:to>
    <xdr:sp macro="" textlink="">
      <xdr:nvSpPr>
        <xdr:cNvPr id="23" name="AutoShape 140">
          <a:extLst>
            <a:ext uri="{FF2B5EF4-FFF2-40B4-BE49-F238E27FC236}">
              <a16:creationId xmlns:a16="http://schemas.microsoft.com/office/drawing/2014/main" id="{2708542A-5DE7-4E00-8657-9701E5F8DAFF}"/>
            </a:ext>
          </a:extLst>
        </xdr:cNvPr>
        <xdr:cNvSpPr>
          <a:spLocks noChangeArrowheads="1"/>
        </xdr:cNvSpPr>
      </xdr:nvSpPr>
      <xdr:spPr bwMode="auto">
        <a:xfrm>
          <a:off x="6438446" y="3688447"/>
          <a:ext cx="963129" cy="646399"/>
        </a:xfrm>
        <a:prstGeom prst="flowChartMagneticDisk">
          <a:avLst/>
        </a:prstGeom>
        <a:solidFill>
          <a:schemeClr val="bg1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none" lIns="0" tIns="0" rIns="0" bIns="0" anchor="t" upright="1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ARVE</a:t>
          </a: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お客さま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情報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148799</xdr:colOff>
      <xdr:row>11</xdr:row>
      <xdr:rowOff>8410</xdr:rowOff>
    </xdr:from>
    <xdr:to>
      <xdr:col>7</xdr:col>
      <xdr:colOff>95250</xdr:colOff>
      <xdr:row>15</xdr:row>
      <xdr:rowOff>11904</xdr:rowOff>
    </xdr:to>
    <xdr:sp macro="" textlink="">
      <xdr:nvSpPr>
        <xdr:cNvPr id="43" name="Rectangle 20">
          <a:extLst>
            <a:ext uri="{FF2B5EF4-FFF2-40B4-BE49-F238E27FC236}">
              <a16:creationId xmlns:a16="http://schemas.microsoft.com/office/drawing/2014/main" id="{D189BA86-D268-4EF6-9F8D-B915E526B4FC}"/>
            </a:ext>
          </a:extLst>
        </xdr:cNvPr>
        <xdr:cNvSpPr>
          <a:spLocks noChangeArrowheads="1"/>
        </xdr:cNvSpPr>
      </xdr:nvSpPr>
      <xdr:spPr bwMode="auto">
        <a:xfrm>
          <a:off x="422643" y="2532535"/>
          <a:ext cx="1827638" cy="717869"/>
        </a:xfrm>
        <a:prstGeom prst="rect">
          <a:avLst/>
        </a:prstGeom>
        <a:solidFill>
          <a:srgbClr val="FFFFFF"/>
        </a:solidFill>
        <a:ln w="9525">
          <a:solidFill>
            <a:sysClr val="windowText" lastClr="000000"/>
          </a:solidFill>
          <a:miter lim="800000"/>
          <a:headEnd/>
          <a:tailEnd/>
        </a:ln>
      </xdr:spPr>
      <xdr:txBody>
        <a:bodyPr vertOverflow="overflow" horzOverflow="overflow" wrap="none" lIns="27432" tIns="18288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BLMMRTDV</a:t>
          </a:r>
          <a:br>
            <a:rPr lang="en-US" altLang="ja-JP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lang="ja-JP" altLang="ja-JP" sz="800" b="0" i="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30分値・顧客情報取込</a:t>
          </a:r>
          <a:endParaRPr lang="ja-JP" altLang="en-US" sz="800" b="0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95250</xdr:colOff>
      <xdr:row>13</xdr:row>
      <xdr:rowOff>10157</xdr:rowOff>
    </xdr:from>
    <xdr:to>
      <xdr:col>11</xdr:col>
      <xdr:colOff>67555</xdr:colOff>
      <xdr:row>13</xdr:row>
      <xdr:rowOff>13021</xdr:rowOff>
    </xdr:to>
    <xdr:cxnSp macro="">
      <xdr:nvCxnSpPr>
        <xdr:cNvPr id="47" name="直線矢印コネクタ 46">
          <a:extLst>
            <a:ext uri="{FF2B5EF4-FFF2-40B4-BE49-F238E27FC236}">
              <a16:creationId xmlns:a16="http://schemas.microsoft.com/office/drawing/2014/main" id="{B0BA0AC5-CBBE-A665-D45C-20F3B5300FDF}"/>
            </a:ext>
          </a:extLst>
        </xdr:cNvPr>
        <xdr:cNvCxnSpPr>
          <a:stCxn id="43" idx="3"/>
          <a:endCxn id="17" idx="1"/>
        </xdr:cNvCxnSpPr>
      </xdr:nvCxnSpPr>
      <xdr:spPr>
        <a:xfrm>
          <a:off x="2250281" y="2891470"/>
          <a:ext cx="1067680" cy="2864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238125</xdr:colOff>
      <xdr:row>36</xdr:row>
      <xdr:rowOff>0</xdr:rowOff>
    </xdr:from>
    <xdr:to>
      <xdr:col>32</xdr:col>
      <xdr:colOff>203868</xdr:colOff>
      <xdr:row>38</xdr:row>
      <xdr:rowOff>124332</xdr:rowOff>
    </xdr:to>
    <xdr:sp macro="" textlink="">
      <xdr:nvSpPr>
        <xdr:cNvPr id="57" name="AutoShape 22">
          <a:extLst>
            <a:ext uri="{FF2B5EF4-FFF2-40B4-BE49-F238E27FC236}">
              <a16:creationId xmlns:a16="http://schemas.microsoft.com/office/drawing/2014/main" id="{4F64FE65-3538-4069-8DA8-BE09CA17F8B2}"/>
            </a:ext>
          </a:extLst>
        </xdr:cNvPr>
        <xdr:cNvSpPr>
          <a:spLocks noChangeArrowheads="1"/>
        </xdr:cNvSpPr>
      </xdr:nvSpPr>
      <xdr:spPr bwMode="auto">
        <a:xfrm>
          <a:off x="8143875" y="6988969"/>
          <a:ext cx="1061118" cy="481519"/>
        </a:xfrm>
        <a:prstGeom prst="roundRect">
          <a:avLst>
            <a:gd name="adj" fmla="val 16667"/>
          </a:avLst>
        </a:prstGeom>
        <a:noFill/>
        <a:ln w="9525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  <xdr:txBody>
        <a:bodyPr vertOverflow="overflow" horzOverflow="overflow" wrap="none" lIns="0" tIns="0" anchor="ctr">
          <a:noAutofit/>
        </a:bodyPr>
        <a:lstStyle/>
        <a:p>
          <a:pPr algn="ctr" fontAlgn="b"/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APIID</a:t>
          </a:r>
        </a:p>
        <a:p>
          <a:pPr algn="ctr" fontAlgn="b"/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名</a:t>
          </a:r>
        </a:p>
      </xdr:txBody>
    </xdr:sp>
    <xdr:clientData/>
  </xdr:twoCellAnchor>
  <xdr:twoCellAnchor>
    <xdr:from>
      <xdr:col>32</xdr:col>
      <xdr:colOff>203868</xdr:colOff>
      <xdr:row>36</xdr:row>
      <xdr:rowOff>160956</xdr:rowOff>
    </xdr:from>
    <xdr:to>
      <xdr:col>35</xdr:col>
      <xdr:colOff>238433</xdr:colOff>
      <xdr:row>38</xdr:row>
      <xdr:rowOff>44570</xdr:rowOff>
    </xdr:to>
    <xdr:sp macro="" textlink="">
      <xdr:nvSpPr>
        <xdr:cNvPr id="58" name="Text Box 23">
          <a:extLst>
            <a:ext uri="{FF2B5EF4-FFF2-40B4-BE49-F238E27FC236}">
              <a16:creationId xmlns:a16="http://schemas.microsoft.com/office/drawing/2014/main" id="{0919FF0C-DEFB-48F4-92E0-6CCED55D2287}"/>
            </a:ext>
          </a:extLst>
        </xdr:cNvPr>
        <xdr:cNvSpPr txBox="1">
          <a:spLocks noChangeArrowheads="1"/>
        </xdr:cNvSpPr>
      </xdr:nvSpPr>
      <xdr:spPr bwMode="auto">
        <a:xfrm>
          <a:off x="9204993" y="7149925"/>
          <a:ext cx="856096" cy="2408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overflow" horzOverflow="overflow" wrap="none" lIns="18288" tIns="18288" rIns="0" bIns="0" anchor="t" upright="1">
          <a:noAutofit/>
        </a:bodyPr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endParaRPr lang="ja-JP" altLang="en-US" sz="800" b="0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26</xdr:col>
      <xdr:colOff>97398</xdr:colOff>
      <xdr:row>17</xdr:row>
      <xdr:rowOff>44224</xdr:rowOff>
    </xdr:from>
    <xdr:to>
      <xdr:col>30</xdr:col>
      <xdr:colOff>25513</xdr:colOff>
      <xdr:row>20</xdr:row>
      <xdr:rowOff>159944</xdr:rowOff>
    </xdr:to>
    <xdr:sp macro="" textlink="">
      <xdr:nvSpPr>
        <xdr:cNvPr id="12" name="AutoShape 140">
          <a:extLst>
            <a:ext uri="{FF2B5EF4-FFF2-40B4-BE49-F238E27FC236}">
              <a16:creationId xmlns:a16="http://schemas.microsoft.com/office/drawing/2014/main" id="{F0D5B332-0F6B-49A4-AC26-F9BE1DA2D455}"/>
            </a:ext>
          </a:extLst>
        </xdr:cNvPr>
        <xdr:cNvSpPr>
          <a:spLocks noChangeArrowheads="1"/>
        </xdr:cNvSpPr>
      </xdr:nvSpPr>
      <xdr:spPr bwMode="auto">
        <a:xfrm>
          <a:off x="7455461" y="3937568"/>
          <a:ext cx="1023490" cy="651501"/>
        </a:xfrm>
        <a:prstGeom prst="flowChartMagneticDisk">
          <a:avLst/>
        </a:prstGeom>
        <a:solidFill>
          <a:schemeClr val="bg1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none" lIns="0" tIns="0" rIns="0" bIns="0" anchor="t" upright="1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EP</a:t>
          </a: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データ参照基盤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30</a:t>
          </a: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分値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22</xdr:col>
      <xdr:colOff>261705</xdr:colOff>
      <xdr:row>21</xdr:row>
      <xdr:rowOff>89468</xdr:rowOff>
    </xdr:from>
    <xdr:to>
      <xdr:col>26</xdr:col>
      <xdr:colOff>189820</xdr:colOff>
      <xdr:row>25</xdr:row>
      <xdr:rowOff>26594</xdr:rowOff>
    </xdr:to>
    <xdr:sp macro="" textlink="">
      <xdr:nvSpPr>
        <xdr:cNvPr id="13" name="AutoShape 140">
          <a:extLst>
            <a:ext uri="{FF2B5EF4-FFF2-40B4-BE49-F238E27FC236}">
              <a16:creationId xmlns:a16="http://schemas.microsoft.com/office/drawing/2014/main" id="{C6CCA13A-4392-4021-88AC-C73E2C3964E0}"/>
            </a:ext>
          </a:extLst>
        </xdr:cNvPr>
        <xdr:cNvSpPr>
          <a:spLocks noChangeArrowheads="1"/>
        </xdr:cNvSpPr>
      </xdr:nvSpPr>
      <xdr:spPr bwMode="auto">
        <a:xfrm>
          <a:off x="6524393" y="4697187"/>
          <a:ext cx="1023490" cy="651501"/>
        </a:xfrm>
        <a:prstGeom prst="flowChartMagneticDisk">
          <a:avLst/>
        </a:prstGeom>
        <a:solidFill>
          <a:schemeClr val="bg1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none" lIns="0" tIns="0" rIns="0" bIns="0" anchor="t" upright="1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30</a:t>
          </a: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分値取込</a:t>
          </a:r>
        </a:p>
        <a:p>
          <a:pPr algn="ctr" rtl="0">
            <a:lnSpc>
              <a:spcPct val="100000"/>
            </a:lnSpc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管理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16933</xdr:colOff>
      <xdr:row>1</xdr:row>
      <xdr:rowOff>22734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7197212-EAFF-4859-B3E1-FD4321DCA7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27400" cy="19206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43254</xdr:colOff>
      <xdr:row>9</xdr:row>
      <xdr:rowOff>44823</xdr:rowOff>
    </xdr:from>
    <xdr:to>
      <xdr:col>13</xdr:col>
      <xdr:colOff>46318</xdr:colOff>
      <xdr:row>10</xdr:row>
      <xdr:rowOff>140493</xdr:rowOff>
    </xdr:to>
    <xdr:cxnSp macro="">
      <xdr:nvCxnSpPr>
        <xdr:cNvPr id="18" name="タイトルボックス1">
          <a:extLst>
            <a:ext uri="{FF2B5EF4-FFF2-40B4-BE49-F238E27FC236}">
              <a16:creationId xmlns:a16="http://schemas.microsoft.com/office/drawing/2014/main" id="{DDDEAEC8-72CF-4237-9673-2E502A8DD8AF}"/>
            </a:ext>
          </a:extLst>
        </xdr:cNvPr>
        <xdr:cNvCxnSpPr>
          <a:stCxn id="19" idx="2"/>
          <a:endCxn id="14" idx="0"/>
        </xdr:cNvCxnSpPr>
      </xdr:nvCxnSpPr>
      <xdr:spPr>
        <a:xfrm>
          <a:off x="3841348" y="1854573"/>
          <a:ext cx="3064" cy="274264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24870</xdr:colOff>
      <xdr:row>7</xdr:row>
      <xdr:rowOff>15239</xdr:rowOff>
    </xdr:from>
    <xdr:to>
      <xdr:col>19</xdr:col>
      <xdr:colOff>61638</xdr:colOff>
      <xdr:row>9</xdr:row>
      <xdr:rowOff>44823</xdr:rowOff>
    </xdr:to>
    <xdr:sp macro="" textlink="">
      <xdr:nvSpPr>
        <xdr:cNvPr id="19" name="フローチャート : 端子 96">
          <a:extLst>
            <a:ext uri="{FF2B5EF4-FFF2-40B4-BE49-F238E27FC236}">
              <a16:creationId xmlns:a16="http://schemas.microsoft.com/office/drawing/2014/main" id="{49A6309F-659C-489A-9547-BAB9F905B77B}"/>
            </a:ext>
          </a:extLst>
        </xdr:cNvPr>
        <xdr:cNvSpPr/>
      </xdr:nvSpPr>
      <xdr:spPr>
        <a:xfrm>
          <a:off x="2188950" y="9395459"/>
          <a:ext cx="3328608" cy="402964"/>
        </a:xfrm>
        <a:prstGeom prst="flowChartTerminator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開始</a:t>
          </a:r>
        </a:p>
      </xdr:txBody>
    </xdr:sp>
    <xdr:clientData/>
  </xdr:twoCellAnchor>
  <xdr:twoCellAnchor>
    <xdr:from>
      <xdr:col>6</xdr:col>
      <xdr:colOff>485245</xdr:colOff>
      <xdr:row>67</xdr:row>
      <xdr:rowOff>160020</xdr:rowOff>
    </xdr:from>
    <xdr:to>
      <xdr:col>19</xdr:col>
      <xdr:colOff>14013</xdr:colOff>
      <xdr:row>70</xdr:row>
      <xdr:rowOff>2801</xdr:rowOff>
    </xdr:to>
    <xdr:sp macro="" textlink="">
      <xdr:nvSpPr>
        <xdr:cNvPr id="20" name="フローチャート : 端子 96">
          <a:extLst>
            <a:ext uri="{FF2B5EF4-FFF2-40B4-BE49-F238E27FC236}">
              <a16:creationId xmlns:a16="http://schemas.microsoft.com/office/drawing/2014/main" id="{2AE2A5F4-8EB8-47EA-A9AC-56E611D209D5}"/>
            </a:ext>
          </a:extLst>
        </xdr:cNvPr>
        <xdr:cNvSpPr/>
      </xdr:nvSpPr>
      <xdr:spPr>
        <a:xfrm>
          <a:off x="2104495" y="7653020"/>
          <a:ext cx="3275268" cy="366656"/>
        </a:xfrm>
        <a:prstGeom prst="flowChartTerminator">
          <a:avLst/>
        </a:prstGeom>
        <a:solidFill>
          <a:sysClr val="window" lastClr="FFFFFF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５．終了</a:t>
          </a:r>
        </a:p>
      </xdr:txBody>
    </xdr:sp>
    <xdr:clientData/>
  </xdr:twoCellAnchor>
  <xdr:twoCellAnchor>
    <xdr:from>
      <xdr:col>6</xdr:col>
      <xdr:colOff>302968</xdr:colOff>
      <xdr:row>25</xdr:row>
      <xdr:rowOff>176661</xdr:rowOff>
    </xdr:from>
    <xdr:to>
      <xdr:col>20</xdr:col>
      <xdr:colOff>17479</xdr:colOff>
      <xdr:row>29</xdr:row>
      <xdr:rowOff>134575</xdr:rowOff>
    </xdr:to>
    <xdr:sp macro="" textlink="">
      <xdr:nvSpPr>
        <xdr:cNvPr id="21" name="フローチャート: 処理 20">
          <a:extLst>
            <a:ext uri="{FF2B5EF4-FFF2-40B4-BE49-F238E27FC236}">
              <a16:creationId xmlns:a16="http://schemas.microsoft.com/office/drawing/2014/main" id="{6DA5C5B8-703B-4209-B145-85EDDC195C68}"/>
            </a:ext>
          </a:extLst>
        </xdr:cNvPr>
        <xdr:cNvSpPr/>
      </xdr:nvSpPr>
      <xdr:spPr>
        <a:xfrm>
          <a:off x="1946031" y="5034411"/>
          <a:ext cx="3786448" cy="672289"/>
        </a:xfrm>
        <a:prstGeom prst="flowChartProcess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２．</a:t>
          </a:r>
          <a:r>
            <a:rPr kumimoji="1" lang="en-US" altLang="ja-JP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30</a:t>
          </a:r>
          <a:r>
            <a:rPr kumimoji="1" lang="ja-JP" altLang="en-US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分値取込管理から連携対象を取得</a:t>
          </a:r>
          <a:endParaRPr lang="ja-JP" altLang="ja-JP" sz="10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20</xdr:col>
      <xdr:colOff>17479</xdr:colOff>
      <xdr:row>27</xdr:row>
      <xdr:rowOff>135735</xdr:rowOff>
    </xdr:from>
    <xdr:to>
      <xdr:col>24</xdr:col>
      <xdr:colOff>35719</xdr:colOff>
      <xdr:row>27</xdr:row>
      <xdr:rowOff>155618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2F922804-2264-477B-9F4C-D45333EB5293}"/>
            </a:ext>
          </a:extLst>
        </xdr:cNvPr>
        <xdr:cNvCxnSpPr>
          <a:cxnSpLocks/>
          <a:stCxn id="10" idx="2"/>
          <a:endCxn id="21" idx="3"/>
        </xdr:cNvCxnSpPr>
      </xdr:nvCxnSpPr>
      <xdr:spPr>
        <a:xfrm flipH="1">
          <a:off x="5732479" y="5350673"/>
          <a:ext cx="1113615" cy="19883"/>
        </a:xfrm>
        <a:prstGeom prst="straightConnector1">
          <a:avLst/>
        </a:prstGeom>
        <a:ln w="41275">
          <a:solidFill>
            <a:srgbClr val="002060"/>
          </a:solidFill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301627</xdr:colOff>
      <xdr:row>37</xdr:row>
      <xdr:rowOff>151514</xdr:rowOff>
    </xdr:from>
    <xdr:to>
      <xdr:col>20</xdr:col>
      <xdr:colOff>16138</xdr:colOff>
      <xdr:row>41</xdr:row>
      <xdr:rowOff>108895</xdr:rowOff>
    </xdr:to>
    <xdr:sp macro="" textlink="">
      <xdr:nvSpPr>
        <xdr:cNvPr id="54" name="フローチャート: 処理 53">
          <a:extLst>
            <a:ext uri="{FF2B5EF4-FFF2-40B4-BE49-F238E27FC236}">
              <a16:creationId xmlns:a16="http://schemas.microsoft.com/office/drawing/2014/main" id="{ADBD40A3-CCE1-457A-8D92-48D54629D042}"/>
            </a:ext>
          </a:extLst>
        </xdr:cNvPr>
        <xdr:cNvSpPr/>
      </xdr:nvSpPr>
      <xdr:spPr>
        <a:xfrm>
          <a:off x="1920877" y="6072889"/>
          <a:ext cx="3730886" cy="655881"/>
        </a:xfrm>
        <a:prstGeom prst="flowChartProcess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３．</a:t>
          </a:r>
          <a:r>
            <a:rPr kumimoji="1" lang="en-US" altLang="ja-JP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LecMoc30</a:t>
          </a:r>
          <a:r>
            <a:rPr kumimoji="1" lang="ja-JP" altLang="en-US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分値自動登録</a:t>
          </a:r>
        </a:p>
      </xdr:txBody>
    </xdr:sp>
    <xdr:clientData/>
  </xdr:twoCellAnchor>
  <xdr:twoCellAnchor>
    <xdr:from>
      <xdr:col>20</xdr:col>
      <xdr:colOff>16138</xdr:colOff>
      <xdr:row>39</xdr:row>
      <xdr:rowOff>130205</xdr:rowOff>
    </xdr:from>
    <xdr:to>
      <xdr:col>24</xdr:col>
      <xdr:colOff>61917</xdr:colOff>
      <xdr:row>42</xdr:row>
      <xdr:rowOff>106399</xdr:rowOff>
    </xdr:to>
    <xdr:cxnSp macro="">
      <xdr:nvCxnSpPr>
        <xdr:cNvPr id="55" name="直線矢印コネクタ 54">
          <a:extLst>
            <a:ext uri="{FF2B5EF4-FFF2-40B4-BE49-F238E27FC236}">
              <a16:creationId xmlns:a16="http://schemas.microsoft.com/office/drawing/2014/main" id="{7BA91E9F-9D3F-41F9-A762-525AED23FF82}"/>
            </a:ext>
          </a:extLst>
        </xdr:cNvPr>
        <xdr:cNvCxnSpPr>
          <a:cxnSpLocks/>
          <a:stCxn id="54" idx="3"/>
          <a:endCxn id="57" idx="2"/>
        </xdr:cNvCxnSpPr>
      </xdr:nvCxnSpPr>
      <xdr:spPr>
        <a:xfrm>
          <a:off x="5731138" y="6476236"/>
          <a:ext cx="1141154" cy="511976"/>
        </a:xfrm>
        <a:prstGeom prst="straightConnector1">
          <a:avLst/>
        </a:prstGeom>
        <a:ln w="41275">
          <a:solidFill>
            <a:srgbClr val="002060"/>
          </a:solidFill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16138</xdr:colOff>
      <xdr:row>37</xdr:row>
      <xdr:rowOff>8882</xdr:rowOff>
    </xdr:from>
    <xdr:to>
      <xdr:col>24</xdr:col>
      <xdr:colOff>102739</xdr:colOff>
      <xdr:row>39</xdr:row>
      <xdr:rowOff>130205</xdr:rowOff>
    </xdr:to>
    <xdr:cxnSp macro="">
      <xdr:nvCxnSpPr>
        <xdr:cNvPr id="56" name="直線矢印コネクタ 55">
          <a:extLst>
            <a:ext uri="{FF2B5EF4-FFF2-40B4-BE49-F238E27FC236}">
              <a16:creationId xmlns:a16="http://schemas.microsoft.com/office/drawing/2014/main" id="{D5898AA9-4FED-4FE9-9FB0-FF2BDA51A9B6}"/>
            </a:ext>
          </a:extLst>
        </xdr:cNvPr>
        <xdr:cNvCxnSpPr>
          <a:cxnSpLocks/>
          <a:stCxn id="58" idx="2"/>
          <a:endCxn id="54" idx="3"/>
        </xdr:cNvCxnSpPr>
      </xdr:nvCxnSpPr>
      <xdr:spPr>
        <a:xfrm flipH="1">
          <a:off x="5651763" y="5930257"/>
          <a:ext cx="1166101" cy="470573"/>
        </a:xfrm>
        <a:prstGeom prst="straightConnector1">
          <a:avLst/>
        </a:prstGeom>
        <a:ln w="41275">
          <a:solidFill>
            <a:srgbClr val="002060"/>
          </a:solidFill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61917</xdr:colOff>
      <xdr:row>40</xdr:row>
      <xdr:rowOff>132450</xdr:rowOff>
    </xdr:from>
    <xdr:to>
      <xdr:col>28</xdr:col>
      <xdr:colOff>23812</xdr:colOff>
      <xdr:row>44</xdr:row>
      <xdr:rowOff>80349</xdr:rowOff>
    </xdr:to>
    <xdr:sp macro="" textlink="">
      <xdr:nvSpPr>
        <xdr:cNvPr id="57" name="AutoShape 140">
          <a:extLst>
            <a:ext uri="{FF2B5EF4-FFF2-40B4-BE49-F238E27FC236}">
              <a16:creationId xmlns:a16="http://schemas.microsoft.com/office/drawing/2014/main" id="{2E9E291B-E1CA-4339-A9CB-895C737627EE}"/>
            </a:ext>
          </a:extLst>
        </xdr:cNvPr>
        <xdr:cNvSpPr>
          <a:spLocks noChangeArrowheads="1"/>
        </xdr:cNvSpPr>
      </xdr:nvSpPr>
      <xdr:spPr bwMode="auto">
        <a:xfrm>
          <a:off x="6872292" y="6657075"/>
          <a:ext cx="1057270" cy="662274"/>
        </a:xfrm>
        <a:prstGeom prst="flowChartMagneticDisk">
          <a:avLst/>
        </a:prstGeom>
        <a:solidFill>
          <a:schemeClr val="bg1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none" lIns="0" tIns="0" rIns="0" bIns="0" anchor="t" upright="1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en-US" altLang="ja-JP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30</a:t>
          </a: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分値の生データ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情報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102739</xdr:colOff>
      <xdr:row>35</xdr:row>
      <xdr:rowOff>34932</xdr:rowOff>
    </xdr:from>
    <xdr:to>
      <xdr:col>27</xdr:col>
      <xdr:colOff>258510</xdr:colOff>
      <xdr:row>38</xdr:row>
      <xdr:rowOff>157456</xdr:rowOff>
    </xdr:to>
    <xdr:sp macro="" textlink="">
      <xdr:nvSpPr>
        <xdr:cNvPr id="58" name="AutoShape 140">
          <a:extLst>
            <a:ext uri="{FF2B5EF4-FFF2-40B4-BE49-F238E27FC236}">
              <a16:creationId xmlns:a16="http://schemas.microsoft.com/office/drawing/2014/main" id="{F7C81392-12FC-4E37-A7D0-7EE9B09E6706}"/>
            </a:ext>
          </a:extLst>
        </xdr:cNvPr>
        <xdr:cNvSpPr>
          <a:spLocks noChangeArrowheads="1"/>
        </xdr:cNvSpPr>
      </xdr:nvSpPr>
      <xdr:spPr bwMode="auto">
        <a:xfrm>
          <a:off x="6817864" y="5607057"/>
          <a:ext cx="965396" cy="646399"/>
        </a:xfrm>
        <a:prstGeom prst="flowChartMagneticDisk">
          <a:avLst/>
        </a:prstGeom>
        <a:solidFill>
          <a:schemeClr val="bg1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none" lIns="0" tIns="0" rIns="0" bIns="0" anchor="t" upright="1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建物マスタ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28</xdr:col>
      <xdr:colOff>5221</xdr:colOff>
      <xdr:row>35</xdr:row>
      <xdr:rowOff>34931</xdr:rowOff>
    </xdr:from>
    <xdr:to>
      <xdr:col>31</xdr:col>
      <xdr:colOff>158725</xdr:colOff>
      <xdr:row>38</xdr:row>
      <xdr:rowOff>157455</xdr:rowOff>
    </xdr:to>
    <xdr:sp macro="" textlink="">
      <xdr:nvSpPr>
        <xdr:cNvPr id="59" name="AutoShape 140">
          <a:extLst>
            <a:ext uri="{FF2B5EF4-FFF2-40B4-BE49-F238E27FC236}">
              <a16:creationId xmlns:a16="http://schemas.microsoft.com/office/drawing/2014/main" id="{2B0490A0-6231-4C99-96E0-FE633AB81C22}"/>
            </a:ext>
          </a:extLst>
        </xdr:cNvPr>
        <xdr:cNvSpPr>
          <a:spLocks noChangeArrowheads="1"/>
        </xdr:cNvSpPr>
      </xdr:nvSpPr>
      <xdr:spPr bwMode="auto">
        <a:xfrm>
          <a:off x="7799846" y="5607056"/>
          <a:ext cx="963129" cy="646399"/>
        </a:xfrm>
        <a:prstGeom prst="flowChartMagneticDisk">
          <a:avLst/>
        </a:prstGeom>
        <a:solidFill>
          <a:schemeClr val="bg1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none" lIns="0" tIns="0" rIns="0" bIns="0" anchor="t" upright="1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en-US" altLang="ja-JP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ARVE</a:t>
          </a: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お客さま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情報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31</xdr:col>
      <xdr:colOff>161016</xdr:colOff>
      <xdr:row>35</xdr:row>
      <xdr:rowOff>49895</xdr:rowOff>
    </xdr:from>
    <xdr:to>
      <xdr:col>35</xdr:col>
      <xdr:colOff>46912</xdr:colOff>
      <xdr:row>38</xdr:row>
      <xdr:rowOff>172419</xdr:rowOff>
    </xdr:to>
    <xdr:sp macro="" textlink="">
      <xdr:nvSpPr>
        <xdr:cNvPr id="60" name="AutoShape 140">
          <a:extLst>
            <a:ext uri="{FF2B5EF4-FFF2-40B4-BE49-F238E27FC236}">
              <a16:creationId xmlns:a16="http://schemas.microsoft.com/office/drawing/2014/main" id="{EC68481A-D2F7-4887-A79B-91FFBD2CC416}"/>
            </a:ext>
          </a:extLst>
        </xdr:cNvPr>
        <xdr:cNvSpPr>
          <a:spLocks noChangeArrowheads="1"/>
        </xdr:cNvSpPr>
      </xdr:nvSpPr>
      <xdr:spPr bwMode="auto">
        <a:xfrm>
          <a:off x="8765266" y="5622020"/>
          <a:ext cx="965396" cy="646399"/>
        </a:xfrm>
        <a:prstGeom prst="flowChartMagneticDisk">
          <a:avLst/>
        </a:prstGeom>
        <a:solidFill>
          <a:schemeClr val="bg1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none" lIns="0" tIns="0" rIns="0" bIns="0" anchor="t" upright="1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en-US" altLang="ja-JP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EP</a:t>
          </a: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データ参照基盤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en-US" altLang="ja-JP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30</a:t>
          </a: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分値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57450</xdr:colOff>
      <xdr:row>0</xdr:row>
      <xdr:rowOff>208845</xdr:rowOff>
    </xdr:to>
    <xdr:pic>
      <xdr:nvPicPr>
        <xdr:cNvPr id="76" name="図 75">
          <a:extLst>
            <a:ext uri="{FF2B5EF4-FFF2-40B4-BE49-F238E27FC236}">
              <a16:creationId xmlns:a16="http://schemas.microsoft.com/office/drawing/2014/main" id="{2B0B3631-7DB6-4321-8423-751A10BDC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593130" cy="208845"/>
        </a:xfrm>
        <a:prstGeom prst="rect">
          <a:avLst/>
        </a:prstGeom>
      </xdr:spPr>
    </xdr:pic>
    <xdr:clientData/>
  </xdr:twoCellAnchor>
  <xdr:twoCellAnchor>
    <xdr:from>
      <xdr:col>24</xdr:col>
      <xdr:colOff>35719</xdr:colOff>
      <xdr:row>25</xdr:row>
      <xdr:rowOff>150814</xdr:rowOff>
    </xdr:from>
    <xdr:to>
      <xdr:col>27</xdr:col>
      <xdr:colOff>215342</xdr:colOff>
      <xdr:row>29</xdr:row>
      <xdr:rowOff>120656</xdr:rowOff>
    </xdr:to>
    <xdr:sp macro="" textlink="">
      <xdr:nvSpPr>
        <xdr:cNvPr id="10" name="AutoShape 140">
          <a:extLst>
            <a:ext uri="{FF2B5EF4-FFF2-40B4-BE49-F238E27FC236}">
              <a16:creationId xmlns:a16="http://schemas.microsoft.com/office/drawing/2014/main" id="{6CBE6B0E-B536-436C-9154-A0EA89BA6536}"/>
            </a:ext>
          </a:extLst>
        </xdr:cNvPr>
        <xdr:cNvSpPr>
          <a:spLocks noChangeArrowheads="1"/>
        </xdr:cNvSpPr>
      </xdr:nvSpPr>
      <xdr:spPr bwMode="auto">
        <a:xfrm>
          <a:off x="6846094" y="5008564"/>
          <a:ext cx="1001154" cy="684217"/>
        </a:xfrm>
        <a:prstGeom prst="flowChartMagneticDisk">
          <a:avLst/>
        </a:prstGeom>
        <a:solidFill>
          <a:schemeClr val="bg1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none" lIns="0" tIns="0" rIns="0" bIns="0" anchor="t" upright="1">
          <a:noAutofit/>
        </a:bodyPr>
        <a:lstStyle/>
        <a:p>
          <a:pPr algn="ctr" rtl="0"/>
          <a:r>
            <a:rPr lang="en-US" altLang="ja-JP" sz="1000" b="0" i="0" baseline="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30</a:t>
          </a:r>
          <a:r>
            <a:rPr lang="ja-JP" altLang="ja-JP" sz="1000" b="0" i="0" baseline="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分</a:t>
          </a:r>
          <a:r>
            <a:rPr lang="ja-JP" altLang="en-US" sz="1000" b="0" i="0" baseline="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値取込</a:t>
          </a:r>
          <a:endParaRPr lang="ja-JP" altLang="ja-JP" sz="1000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 rtl="0"/>
          <a:r>
            <a:rPr lang="ja-JP" altLang="ja-JP" sz="1000" b="0" i="0" baseline="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管理</a:t>
          </a:r>
          <a:endParaRPr lang="ja-JP" altLang="ja-JP" sz="1000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76761</xdr:colOff>
      <xdr:row>10</xdr:row>
      <xdr:rowOff>140493</xdr:rowOff>
    </xdr:from>
    <xdr:to>
      <xdr:col>18</xdr:col>
      <xdr:colOff>15875</xdr:colOff>
      <xdr:row>12</xdr:row>
      <xdr:rowOff>47625</xdr:rowOff>
    </xdr:to>
    <xdr:sp macro="" textlink="">
      <xdr:nvSpPr>
        <xdr:cNvPr id="14" name="フローチャート: 処理 13">
          <a:extLst>
            <a:ext uri="{FF2B5EF4-FFF2-40B4-BE49-F238E27FC236}">
              <a16:creationId xmlns:a16="http://schemas.microsoft.com/office/drawing/2014/main" id="{3BED8F0E-321D-40EC-9567-3A01A2C613BF}"/>
            </a:ext>
          </a:extLst>
        </xdr:cNvPr>
        <xdr:cNvSpPr/>
      </xdr:nvSpPr>
      <xdr:spPr>
        <a:xfrm>
          <a:off x="2505636" y="2128837"/>
          <a:ext cx="2677552" cy="264319"/>
        </a:xfrm>
        <a:prstGeom prst="flowChartProcess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baseline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30</a:t>
          </a:r>
          <a:r>
            <a:rPr lang="ja-JP" altLang="en-US" sz="900" b="0" i="0" baseline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分値・顧客情報取込バッチ</a:t>
          </a:r>
          <a:endParaRPr kumimoji="1" lang="ja-JP" altLang="en-US" sz="9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13</xdr:col>
      <xdr:colOff>41161</xdr:colOff>
      <xdr:row>12</xdr:row>
      <xdr:rowOff>47625</xdr:rowOff>
    </xdr:from>
    <xdr:to>
      <xdr:col>13</xdr:col>
      <xdr:colOff>46318</xdr:colOff>
      <xdr:row>25</xdr:row>
      <xdr:rowOff>176661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FB01AE60-CCA2-DD6C-C957-F1A8C167B84A}"/>
            </a:ext>
          </a:extLst>
        </xdr:cNvPr>
        <xdr:cNvCxnSpPr>
          <a:stCxn id="14" idx="2"/>
          <a:endCxn id="21" idx="0"/>
        </xdr:cNvCxnSpPr>
      </xdr:nvCxnSpPr>
      <xdr:spPr>
        <a:xfrm flipH="1">
          <a:off x="3839255" y="2393156"/>
          <a:ext cx="5157" cy="162922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39820</xdr:colOff>
      <xdr:row>29</xdr:row>
      <xdr:rowOff>134575</xdr:rowOff>
    </xdr:from>
    <xdr:to>
      <xdr:col>13</xdr:col>
      <xdr:colOff>41161</xdr:colOff>
      <xdr:row>37</xdr:row>
      <xdr:rowOff>151514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0BDA0D53-DC1C-CC70-E134-16610DF82115}"/>
            </a:ext>
          </a:extLst>
        </xdr:cNvPr>
        <xdr:cNvCxnSpPr>
          <a:cxnSpLocks/>
          <a:stCxn id="21" idx="2"/>
          <a:endCxn id="54" idx="0"/>
        </xdr:cNvCxnSpPr>
      </xdr:nvCxnSpPr>
      <xdr:spPr>
        <a:xfrm flipH="1">
          <a:off x="3837914" y="4694669"/>
          <a:ext cx="1341" cy="144568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26874</xdr:colOff>
      <xdr:row>41</xdr:row>
      <xdr:rowOff>108895</xdr:rowOff>
    </xdr:from>
    <xdr:to>
      <xdr:col>13</xdr:col>
      <xdr:colOff>39820</xdr:colOff>
      <xdr:row>48</xdr:row>
      <xdr:rowOff>31405</xdr:rowOff>
    </xdr:to>
    <xdr:cxnSp macro="">
      <xdr:nvCxnSpPr>
        <xdr:cNvPr id="33" name="直線矢印コネクタ 32">
          <a:extLst>
            <a:ext uri="{FF2B5EF4-FFF2-40B4-BE49-F238E27FC236}">
              <a16:creationId xmlns:a16="http://schemas.microsoft.com/office/drawing/2014/main" id="{FF1B7316-595B-AE29-42C4-2E5C2E5B8A46}"/>
            </a:ext>
          </a:extLst>
        </xdr:cNvPr>
        <xdr:cNvCxnSpPr>
          <a:cxnSpLocks/>
          <a:stCxn id="54" idx="2"/>
          <a:endCxn id="2" idx="0"/>
        </xdr:cNvCxnSpPr>
      </xdr:nvCxnSpPr>
      <xdr:spPr>
        <a:xfrm flipH="1">
          <a:off x="3824968" y="6812114"/>
          <a:ext cx="12946" cy="117266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195608</xdr:colOff>
      <xdr:row>25</xdr:row>
      <xdr:rowOff>163520</xdr:rowOff>
    </xdr:from>
    <xdr:to>
      <xdr:col>31</xdr:col>
      <xdr:colOff>81504</xdr:colOff>
      <xdr:row>29</xdr:row>
      <xdr:rowOff>107450</xdr:rowOff>
    </xdr:to>
    <xdr:sp macro="" textlink="">
      <xdr:nvSpPr>
        <xdr:cNvPr id="45" name="AutoShape 140">
          <a:extLst>
            <a:ext uri="{FF2B5EF4-FFF2-40B4-BE49-F238E27FC236}">
              <a16:creationId xmlns:a16="http://schemas.microsoft.com/office/drawing/2014/main" id="{EB057EB3-8634-4A80-A85D-465B24109AD6}"/>
            </a:ext>
          </a:extLst>
        </xdr:cNvPr>
        <xdr:cNvSpPr>
          <a:spLocks noChangeArrowheads="1"/>
        </xdr:cNvSpPr>
      </xdr:nvSpPr>
      <xdr:spPr bwMode="auto">
        <a:xfrm>
          <a:off x="7827514" y="5021270"/>
          <a:ext cx="981271" cy="658305"/>
        </a:xfrm>
        <a:prstGeom prst="flowChartMagneticDisk">
          <a:avLst/>
        </a:prstGeom>
        <a:solidFill>
          <a:schemeClr val="bg1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none" lIns="0" tIns="0" rIns="0" bIns="0" anchor="t" upright="1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建物マスタ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35</xdr:col>
      <xdr:colOff>59532</xdr:colOff>
      <xdr:row>35</xdr:row>
      <xdr:rowOff>59532</xdr:rowOff>
    </xdr:from>
    <xdr:to>
      <xdr:col>38</xdr:col>
      <xdr:colOff>243123</xdr:colOff>
      <xdr:row>39</xdr:row>
      <xdr:rowOff>29374</xdr:rowOff>
    </xdr:to>
    <xdr:sp macro="" textlink="">
      <xdr:nvSpPr>
        <xdr:cNvPr id="49" name="AutoShape 140">
          <a:extLst>
            <a:ext uri="{FF2B5EF4-FFF2-40B4-BE49-F238E27FC236}">
              <a16:creationId xmlns:a16="http://schemas.microsoft.com/office/drawing/2014/main" id="{0F0931AB-016E-450E-87A2-C7878BD18324}"/>
            </a:ext>
          </a:extLst>
        </xdr:cNvPr>
        <xdr:cNvSpPr>
          <a:spLocks noChangeArrowheads="1"/>
        </xdr:cNvSpPr>
      </xdr:nvSpPr>
      <xdr:spPr bwMode="auto">
        <a:xfrm>
          <a:off x="9882188" y="6703220"/>
          <a:ext cx="1005123" cy="684217"/>
        </a:xfrm>
        <a:prstGeom prst="flowChartMagneticDisk">
          <a:avLst/>
        </a:prstGeom>
        <a:solidFill>
          <a:schemeClr val="bg1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none" lIns="0" tIns="0" rIns="0" bIns="0" anchor="t" upright="1">
          <a:noAutofit/>
        </a:bodyPr>
        <a:lstStyle/>
        <a:p>
          <a:pPr algn="ctr" rtl="0"/>
          <a:r>
            <a:rPr lang="en-US" altLang="ja-JP" sz="1000" b="0" i="0" baseline="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30</a:t>
          </a:r>
          <a:r>
            <a:rPr lang="ja-JP" altLang="ja-JP" sz="1000" b="0" i="0" baseline="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分</a:t>
          </a:r>
          <a:r>
            <a:rPr lang="ja-JP" altLang="en-US" sz="1000" b="0" i="0" baseline="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値取込</a:t>
          </a:r>
          <a:endParaRPr lang="ja-JP" altLang="ja-JP" sz="1000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 rtl="0"/>
          <a:r>
            <a:rPr lang="ja-JP" altLang="ja-JP" sz="1000" b="0" i="0" baseline="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管理</a:t>
          </a:r>
          <a:endParaRPr lang="ja-JP" altLang="ja-JP" sz="1000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1</xdr:colOff>
      <xdr:row>34</xdr:row>
      <xdr:rowOff>0</xdr:rowOff>
    </xdr:from>
    <xdr:to>
      <xdr:col>42</xdr:col>
      <xdr:colOff>261937</xdr:colOff>
      <xdr:row>58</xdr:row>
      <xdr:rowOff>95250</xdr:rowOff>
    </xdr:to>
    <xdr:sp macro="" textlink="">
      <xdr:nvSpPr>
        <xdr:cNvPr id="15" name="AutoShape 22">
          <a:extLst>
            <a:ext uri="{FF2B5EF4-FFF2-40B4-BE49-F238E27FC236}">
              <a16:creationId xmlns:a16="http://schemas.microsoft.com/office/drawing/2014/main" id="{5BBAA617-0FAD-4C84-B096-4C7BFEA82ABC}"/>
            </a:ext>
          </a:extLst>
        </xdr:cNvPr>
        <xdr:cNvSpPr>
          <a:spLocks noChangeArrowheads="1"/>
        </xdr:cNvSpPr>
      </xdr:nvSpPr>
      <xdr:spPr bwMode="auto">
        <a:xfrm>
          <a:off x="1643064" y="6465094"/>
          <a:ext cx="10358436" cy="4381500"/>
        </a:xfrm>
        <a:prstGeom prst="roundRect">
          <a:avLst>
            <a:gd name="adj" fmla="val 4402"/>
          </a:avLst>
        </a:prstGeom>
        <a:noFill/>
        <a:ln w="12700">
          <a:solidFill>
            <a:schemeClr val="accent6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  <xdr:txBody>
        <a:bodyPr vertOverflow="overflow" horzOverflow="overflow" wrap="none" lIns="0" tIns="0">
          <a:noAutofit/>
        </a:bodyPr>
        <a:lstStyle/>
        <a:p>
          <a:pPr algn="l"/>
          <a:r>
            <a:rPr lang="ja-JP" altLang="en-US" sz="1050">
              <a:latin typeface="Meiryo UI" panose="020B0604030504040204" pitchFamily="50" charset="-128"/>
              <a:ea typeface="Meiryo UI" panose="020B0604030504040204" pitchFamily="50" charset="-128"/>
            </a:rPr>
            <a:t>トランザクション開始</a:t>
          </a:r>
        </a:p>
      </xdr:txBody>
    </xdr:sp>
    <xdr:clientData/>
  </xdr:twoCellAnchor>
  <xdr:twoCellAnchor>
    <xdr:from>
      <xdr:col>6</xdr:col>
      <xdr:colOff>288681</xdr:colOff>
      <xdr:row>48</xdr:row>
      <xdr:rowOff>31405</xdr:rowOff>
    </xdr:from>
    <xdr:to>
      <xdr:col>20</xdr:col>
      <xdr:colOff>3192</xdr:colOff>
      <xdr:row>51</xdr:row>
      <xdr:rowOff>167913</xdr:rowOff>
    </xdr:to>
    <xdr:sp macro="" textlink="">
      <xdr:nvSpPr>
        <xdr:cNvPr id="2" name="フローチャート: 処理 1">
          <a:extLst>
            <a:ext uri="{FF2B5EF4-FFF2-40B4-BE49-F238E27FC236}">
              <a16:creationId xmlns:a16="http://schemas.microsoft.com/office/drawing/2014/main" id="{1AB4ED4D-50C5-4486-9828-0FD4C4F83938}"/>
            </a:ext>
          </a:extLst>
        </xdr:cNvPr>
        <xdr:cNvSpPr/>
      </xdr:nvSpPr>
      <xdr:spPr>
        <a:xfrm>
          <a:off x="1931744" y="7984780"/>
          <a:ext cx="3786448" cy="672289"/>
        </a:xfrm>
        <a:prstGeom prst="flowChartProcess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１．</a:t>
          </a:r>
          <a:r>
            <a:rPr kumimoji="1" lang="en-US" altLang="ja-JP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30</a:t>
          </a:r>
          <a:r>
            <a:rPr kumimoji="1" lang="ja-JP" altLang="en-US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分値取込管理から連携対象を取得</a:t>
          </a:r>
          <a:endParaRPr lang="ja-JP" altLang="ja-JP" sz="10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267489</xdr:colOff>
      <xdr:row>51</xdr:row>
      <xdr:rowOff>167913</xdr:rowOff>
    </xdr:from>
    <xdr:to>
      <xdr:col>13</xdr:col>
      <xdr:colOff>26874</xdr:colOff>
      <xdr:row>67</xdr:row>
      <xdr:rowOff>160020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91CAB356-8E7B-419B-8718-F01A66D8FAF5}"/>
            </a:ext>
          </a:extLst>
        </xdr:cNvPr>
        <xdr:cNvCxnSpPr>
          <a:cxnSpLocks/>
          <a:stCxn id="2" idx="2"/>
          <a:endCxn id="20" idx="0"/>
        </xdr:cNvCxnSpPr>
      </xdr:nvCxnSpPr>
      <xdr:spPr>
        <a:xfrm flipH="1">
          <a:off x="3791739" y="8657069"/>
          <a:ext cx="33229" cy="231382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300587</xdr:colOff>
      <xdr:row>48</xdr:row>
      <xdr:rowOff>43311</xdr:rowOff>
    </xdr:from>
    <xdr:to>
      <xdr:col>20</xdr:col>
      <xdr:colOff>15098</xdr:colOff>
      <xdr:row>52</xdr:row>
      <xdr:rowOff>1225</xdr:rowOff>
    </xdr:to>
    <xdr:sp macro="" textlink="">
      <xdr:nvSpPr>
        <xdr:cNvPr id="8" name="フローチャート: 処理 7">
          <a:extLst>
            <a:ext uri="{FF2B5EF4-FFF2-40B4-BE49-F238E27FC236}">
              <a16:creationId xmlns:a16="http://schemas.microsoft.com/office/drawing/2014/main" id="{F60FA292-9CB9-F7F2-4354-B5D8BD5ED179}"/>
            </a:ext>
          </a:extLst>
        </xdr:cNvPr>
        <xdr:cNvSpPr/>
      </xdr:nvSpPr>
      <xdr:spPr>
        <a:xfrm>
          <a:off x="1943650" y="7996686"/>
          <a:ext cx="3786448" cy="672289"/>
        </a:xfrm>
        <a:prstGeom prst="flowChartProcess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４．</a:t>
          </a:r>
          <a:r>
            <a:rPr kumimoji="1" lang="en-US" altLang="ja-JP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30</a:t>
          </a:r>
          <a:r>
            <a:rPr kumimoji="1" lang="ja-JP" altLang="en-US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分値取込管理更新</a:t>
          </a:r>
          <a:endParaRPr kumimoji="1" lang="en-US" altLang="ja-JP" sz="10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20</xdr:col>
      <xdr:colOff>15098</xdr:colOff>
      <xdr:row>50</xdr:row>
      <xdr:rowOff>22268</xdr:rowOff>
    </xdr:from>
    <xdr:to>
      <xdr:col>23</xdr:col>
      <xdr:colOff>259557</xdr:colOff>
      <xdr:row>50</xdr:row>
      <xdr:rowOff>38104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F111CB73-9FDD-4960-9A9E-490132C28E40}"/>
            </a:ext>
          </a:extLst>
        </xdr:cNvPr>
        <xdr:cNvCxnSpPr>
          <a:cxnSpLocks/>
          <a:stCxn id="8" idx="3"/>
          <a:endCxn id="11" idx="2"/>
        </xdr:cNvCxnSpPr>
      </xdr:nvCxnSpPr>
      <xdr:spPr>
        <a:xfrm>
          <a:off x="5730098" y="8332831"/>
          <a:ext cx="1065990" cy="15836"/>
        </a:xfrm>
        <a:prstGeom prst="straightConnector1">
          <a:avLst/>
        </a:prstGeom>
        <a:ln w="41275">
          <a:solidFill>
            <a:srgbClr val="002060"/>
          </a:solidFill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259557</xdr:colOff>
      <xdr:row>48</xdr:row>
      <xdr:rowOff>53183</xdr:rowOff>
    </xdr:from>
    <xdr:to>
      <xdr:col>27</xdr:col>
      <xdr:colOff>165336</xdr:colOff>
      <xdr:row>52</xdr:row>
      <xdr:rowOff>23025</xdr:rowOff>
    </xdr:to>
    <xdr:sp macro="" textlink="">
      <xdr:nvSpPr>
        <xdr:cNvPr id="11" name="AutoShape 140">
          <a:extLst>
            <a:ext uri="{FF2B5EF4-FFF2-40B4-BE49-F238E27FC236}">
              <a16:creationId xmlns:a16="http://schemas.microsoft.com/office/drawing/2014/main" id="{094DE4E0-D6D9-45A6-BD4A-996263C16795}"/>
            </a:ext>
          </a:extLst>
        </xdr:cNvPr>
        <xdr:cNvSpPr>
          <a:spLocks noChangeArrowheads="1"/>
        </xdr:cNvSpPr>
      </xdr:nvSpPr>
      <xdr:spPr bwMode="auto">
        <a:xfrm>
          <a:off x="6796088" y="8006558"/>
          <a:ext cx="1001154" cy="684217"/>
        </a:xfrm>
        <a:prstGeom prst="flowChartMagneticDisk">
          <a:avLst/>
        </a:prstGeom>
        <a:solidFill>
          <a:schemeClr val="bg1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none" lIns="0" tIns="0" rIns="0" bIns="0" anchor="t" upright="1">
          <a:noAutofit/>
        </a:bodyPr>
        <a:lstStyle/>
        <a:p>
          <a:pPr algn="ctr" rtl="0"/>
          <a:r>
            <a:rPr lang="en-US" altLang="ja-JP" sz="1000" b="0" i="0" baseline="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30</a:t>
          </a:r>
          <a:r>
            <a:rPr lang="ja-JP" altLang="ja-JP" sz="1000" b="0" i="0" baseline="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分</a:t>
          </a:r>
          <a:r>
            <a:rPr lang="ja-JP" altLang="en-US" sz="1000" b="0" i="0" baseline="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値取込</a:t>
          </a:r>
          <a:endParaRPr lang="ja-JP" altLang="ja-JP" sz="1000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 rtl="0"/>
          <a:r>
            <a:rPr lang="ja-JP" altLang="ja-JP" sz="1000" b="0" i="0" baseline="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管理</a:t>
          </a:r>
          <a:endParaRPr lang="ja-JP" altLang="ja-JP" sz="1000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464344</xdr:colOff>
      <xdr:row>13</xdr:row>
      <xdr:rowOff>95249</xdr:rowOff>
    </xdr:from>
    <xdr:to>
      <xdr:col>19</xdr:col>
      <xdr:colOff>202407</xdr:colOff>
      <xdr:row>15</xdr:row>
      <xdr:rowOff>167006</xdr:rowOff>
    </xdr:to>
    <xdr:sp macro="" textlink="">
      <xdr:nvSpPr>
        <xdr:cNvPr id="4" name="フローチャート: 処理 3">
          <a:extLst>
            <a:ext uri="{FF2B5EF4-FFF2-40B4-BE49-F238E27FC236}">
              <a16:creationId xmlns:a16="http://schemas.microsoft.com/office/drawing/2014/main" id="{D2A0125C-7898-426C-9217-C7A43F10BD25}"/>
            </a:ext>
          </a:extLst>
        </xdr:cNvPr>
        <xdr:cNvSpPr/>
      </xdr:nvSpPr>
      <xdr:spPr>
        <a:xfrm>
          <a:off x="2107407" y="2619374"/>
          <a:ext cx="3536156" cy="476570"/>
        </a:xfrm>
        <a:prstGeom prst="flowChartProcess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en-US" altLang="ja-JP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r>
            <a:rPr kumimoji="1" lang="ja-JP" altLang="en-US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．バッチ実行日時取得</a:t>
          </a:r>
        </a:p>
      </xdr:txBody>
    </xdr:sp>
    <xdr:clientData/>
  </xdr:twoCellAnchor>
  <xdr:twoCellAnchor>
    <xdr:from>
      <xdr:col>5</xdr:col>
      <xdr:colOff>83345</xdr:colOff>
      <xdr:row>19</xdr:row>
      <xdr:rowOff>130968</xdr:rowOff>
    </xdr:from>
    <xdr:to>
      <xdr:col>21</xdr:col>
      <xdr:colOff>221988</xdr:colOff>
      <xdr:row>21</xdr:row>
      <xdr:rowOff>170656</xdr:rowOff>
    </xdr:to>
    <xdr:sp macro="" textlink="">
      <xdr:nvSpPr>
        <xdr:cNvPr id="6" name="四角形: 上の 2 つの角を切り取る 5">
          <a:extLst>
            <a:ext uri="{FF2B5EF4-FFF2-40B4-BE49-F238E27FC236}">
              <a16:creationId xmlns:a16="http://schemas.microsoft.com/office/drawing/2014/main" id="{6927B39B-81B6-495E-B619-6B34ECF30CE2}"/>
            </a:ext>
          </a:extLst>
        </xdr:cNvPr>
        <xdr:cNvSpPr/>
      </xdr:nvSpPr>
      <xdr:spPr>
        <a:xfrm>
          <a:off x="1452564" y="3869531"/>
          <a:ext cx="4758268" cy="444500"/>
        </a:xfrm>
        <a:prstGeom prst="snip2SameRect">
          <a:avLst>
            <a:gd name="adj1" fmla="val 50000"/>
            <a:gd name="adj2" fmla="val 0"/>
          </a:avLst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LOOP</a:t>
          </a:r>
          <a:endParaRPr lang="ja-JP" altLang="ja-JP" sz="1400" b="1">
            <a:effectLst/>
          </a:endParaRPr>
        </a:p>
      </xdr:txBody>
    </xdr:sp>
    <xdr:clientData/>
  </xdr:twoCellAnchor>
  <xdr:twoCellAnchor>
    <xdr:from>
      <xdr:col>5</xdr:col>
      <xdr:colOff>47624</xdr:colOff>
      <xdr:row>60</xdr:row>
      <xdr:rowOff>95251</xdr:rowOff>
    </xdr:from>
    <xdr:to>
      <xdr:col>21</xdr:col>
      <xdr:colOff>167217</xdr:colOff>
      <xdr:row>63</xdr:row>
      <xdr:rowOff>696</xdr:rowOff>
    </xdr:to>
    <xdr:sp macro="" textlink="">
      <xdr:nvSpPr>
        <xdr:cNvPr id="7" name="四角形: 上の 2 つの角を切り取る 6">
          <a:extLst>
            <a:ext uri="{FF2B5EF4-FFF2-40B4-BE49-F238E27FC236}">
              <a16:creationId xmlns:a16="http://schemas.microsoft.com/office/drawing/2014/main" id="{2067515F-09E4-47CC-9B0D-3E6E1DE600F7}"/>
            </a:ext>
          </a:extLst>
        </xdr:cNvPr>
        <xdr:cNvSpPr/>
      </xdr:nvSpPr>
      <xdr:spPr>
        <a:xfrm flipV="1">
          <a:off x="1416843" y="11203782"/>
          <a:ext cx="4739218" cy="441227"/>
        </a:xfrm>
        <a:prstGeom prst="snip2SameRect">
          <a:avLst>
            <a:gd name="adj1" fmla="val 50000"/>
            <a:gd name="adj2" fmla="val 0"/>
          </a:avLst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ja-JP" altLang="ja-JP" sz="1400" b="1">
            <a:effectLst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8467</xdr:colOff>
      <xdr:row>0</xdr:row>
      <xdr:rowOff>16934</xdr:rowOff>
    </xdr:from>
    <xdr:to>
      <xdr:col>2</xdr:col>
      <xdr:colOff>864203</xdr:colOff>
      <xdr:row>1</xdr:row>
      <xdr:rowOff>39512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9B0D091A-D536-48E4-81BC-EB0D5C272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67" y="16934"/>
          <a:ext cx="3573536" cy="20884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27668</xdr:colOff>
      <xdr:row>18</xdr:row>
      <xdr:rowOff>38324</xdr:rowOff>
    </xdr:from>
    <xdr:to>
      <xdr:col>48</xdr:col>
      <xdr:colOff>11680</xdr:colOff>
      <xdr:row>19</xdr:row>
      <xdr:rowOff>158785</xdr:rowOff>
    </xdr:to>
    <xdr:sp macro="" textlink="">
      <xdr:nvSpPr>
        <xdr:cNvPr id="2" name="矢印: 左右 1">
          <a:extLst>
            <a:ext uri="{FF2B5EF4-FFF2-40B4-BE49-F238E27FC236}">
              <a16:creationId xmlns:a16="http://schemas.microsoft.com/office/drawing/2014/main" id="{FF9B50FE-0B21-49D6-9023-7ACDABD4323E}"/>
            </a:ext>
          </a:extLst>
        </xdr:cNvPr>
        <xdr:cNvSpPr/>
      </xdr:nvSpPr>
      <xdr:spPr>
        <a:xfrm>
          <a:off x="5742668" y="4210274"/>
          <a:ext cx="3413012" cy="358586"/>
        </a:xfrm>
        <a:prstGeom prst="leftRightArrow">
          <a:avLst/>
        </a:prstGeom>
        <a:solidFill>
          <a:schemeClr val="accent2"/>
        </a:solidFill>
        <a:ln>
          <a:solidFill>
            <a:schemeClr val="accent2">
              <a:lumMod val="20000"/>
              <a:lumOff val="8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38099</xdr:colOff>
      <xdr:row>14</xdr:row>
      <xdr:rowOff>0</xdr:rowOff>
    </xdr:from>
    <xdr:to>
      <xdr:col>29</xdr:col>
      <xdr:colOff>161924</xdr:colOff>
      <xdr:row>15</xdr:row>
      <xdr:rowOff>57149</xdr:rowOff>
    </xdr:to>
    <xdr:sp macro="" textlink="">
      <xdr:nvSpPr>
        <xdr:cNvPr id="3" name="矢印: 左右 2">
          <a:extLst>
            <a:ext uri="{FF2B5EF4-FFF2-40B4-BE49-F238E27FC236}">
              <a16:creationId xmlns:a16="http://schemas.microsoft.com/office/drawing/2014/main" id="{E1199D6A-3832-44D1-BD6C-FC18ABA4575D}"/>
            </a:ext>
          </a:extLst>
        </xdr:cNvPr>
        <xdr:cNvSpPr/>
      </xdr:nvSpPr>
      <xdr:spPr>
        <a:xfrm>
          <a:off x="990599" y="3219450"/>
          <a:ext cx="4695825" cy="295274"/>
        </a:xfrm>
        <a:prstGeom prst="left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9</xdr:col>
      <xdr:colOff>171450</xdr:colOff>
      <xdr:row>7</xdr:row>
      <xdr:rowOff>57149</xdr:rowOff>
    </xdr:to>
    <xdr:sp macro="" textlink="">
      <xdr:nvSpPr>
        <xdr:cNvPr id="4" name="矢印: 左右 3">
          <a:extLst>
            <a:ext uri="{FF2B5EF4-FFF2-40B4-BE49-F238E27FC236}">
              <a16:creationId xmlns:a16="http://schemas.microsoft.com/office/drawing/2014/main" id="{EAF01BB9-A931-43C9-8023-BD7335E3DB6F}"/>
            </a:ext>
          </a:extLst>
        </xdr:cNvPr>
        <xdr:cNvSpPr/>
      </xdr:nvSpPr>
      <xdr:spPr>
        <a:xfrm>
          <a:off x="762000" y="1390650"/>
          <a:ext cx="1123950" cy="295274"/>
        </a:xfrm>
        <a:prstGeom prst="left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560</xdr:colOff>
      <xdr:row>7</xdr:row>
      <xdr:rowOff>219263</xdr:rowOff>
    </xdr:from>
    <xdr:to>
      <xdr:col>9</xdr:col>
      <xdr:colOff>171450</xdr:colOff>
      <xdr:row>9</xdr:row>
      <xdr:rowOff>95250</xdr:rowOff>
    </xdr:to>
    <xdr:sp macro="" textlink="">
      <xdr:nvSpPr>
        <xdr:cNvPr id="5" name="矢印: 左右 4">
          <a:extLst>
            <a:ext uri="{FF2B5EF4-FFF2-40B4-BE49-F238E27FC236}">
              <a16:creationId xmlns:a16="http://schemas.microsoft.com/office/drawing/2014/main" id="{B7ECF9C9-C5E0-4EDD-8929-D22C0A235A4B}"/>
            </a:ext>
          </a:extLst>
        </xdr:cNvPr>
        <xdr:cNvSpPr/>
      </xdr:nvSpPr>
      <xdr:spPr>
        <a:xfrm>
          <a:off x="762560" y="1848038"/>
          <a:ext cx="1123390" cy="352237"/>
        </a:xfrm>
        <a:prstGeom prst="leftRightArrow">
          <a:avLst/>
        </a:prstGeom>
        <a:solidFill>
          <a:schemeClr val="accent2"/>
        </a:solidFill>
        <a:ln>
          <a:solidFill>
            <a:schemeClr val="accent2">
              <a:lumMod val="20000"/>
              <a:lumOff val="8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20865</xdr:colOff>
      <xdr:row>13</xdr:row>
      <xdr:rowOff>199117</xdr:rowOff>
    </xdr:from>
    <xdr:to>
      <xdr:col>23</xdr:col>
      <xdr:colOff>158750</xdr:colOff>
      <xdr:row>15</xdr:row>
      <xdr:rowOff>133804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E013A625-A341-49F7-B40B-5EDC14C25D49}"/>
            </a:ext>
          </a:extLst>
        </xdr:cNvPr>
        <xdr:cNvSpPr txBox="1"/>
      </xdr:nvSpPr>
      <xdr:spPr>
        <a:xfrm>
          <a:off x="4021365" y="3180442"/>
          <a:ext cx="518885" cy="4109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>
              <a:solidFill>
                <a:srgbClr val="FF0000"/>
              </a:solidFill>
            </a:rPr>
            <a:t>★</a:t>
          </a:r>
        </a:p>
      </xdr:txBody>
    </xdr:sp>
    <xdr:clientData/>
  </xdr:twoCellAnchor>
  <xdr:twoCellAnchor>
    <xdr:from>
      <xdr:col>47</xdr:col>
      <xdr:colOff>19050</xdr:colOff>
      <xdr:row>18</xdr:row>
      <xdr:rowOff>9525</xdr:rowOff>
    </xdr:from>
    <xdr:to>
      <xdr:col>49</xdr:col>
      <xdr:colOff>160110</xdr:colOff>
      <xdr:row>19</xdr:row>
      <xdr:rowOff>169637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0A99E0E8-7C0C-4D76-9E2F-810416B0F514}"/>
            </a:ext>
          </a:extLst>
        </xdr:cNvPr>
        <xdr:cNvSpPr txBox="1"/>
      </xdr:nvSpPr>
      <xdr:spPr>
        <a:xfrm>
          <a:off x="8972550" y="4181475"/>
          <a:ext cx="522060" cy="3982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>
              <a:solidFill>
                <a:srgbClr val="FF0000"/>
              </a:solidFill>
            </a:rPr>
            <a:t>★</a:t>
          </a:r>
        </a:p>
      </xdr:txBody>
    </xdr:sp>
    <xdr:clientData/>
  </xdr:twoCellAnchor>
  <xdr:twoCellAnchor>
    <xdr:from>
      <xdr:col>48</xdr:col>
      <xdr:colOff>2</xdr:colOff>
      <xdr:row>20</xdr:row>
      <xdr:rowOff>212612</xdr:rowOff>
    </xdr:from>
    <xdr:to>
      <xdr:col>67</xdr:col>
      <xdr:colOff>153082</xdr:colOff>
      <xdr:row>22</xdr:row>
      <xdr:rowOff>76475</xdr:rowOff>
    </xdr:to>
    <xdr:sp macro="" textlink="">
      <xdr:nvSpPr>
        <xdr:cNvPr id="8" name="矢印: 左右 7">
          <a:extLst>
            <a:ext uri="{FF2B5EF4-FFF2-40B4-BE49-F238E27FC236}">
              <a16:creationId xmlns:a16="http://schemas.microsoft.com/office/drawing/2014/main" id="{B6DF780F-1D1E-40FB-A3F5-D81E0E116496}"/>
            </a:ext>
          </a:extLst>
        </xdr:cNvPr>
        <xdr:cNvSpPr/>
      </xdr:nvSpPr>
      <xdr:spPr>
        <a:xfrm>
          <a:off x="9144002" y="4860812"/>
          <a:ext cx="3772580" cy="340113"/>
        </a:xfrm>
        <a:prstGeom prst="left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110558</xdr:colOff>
      <xdr:row>18</xdr:row>
      <xdr:rowOff>178593</xdr:rowOff>
    </xdr:from>
    <xdr:to>
      <xdr:col>20</xdr:col>
      <xdr:colOff>137999</xdr:colOff>
      <xdr:row>22</xdr:row>
      <xdr:rowOff>22110</xdr:rowOff>
    </xdr:to>
    <xdr:sp macro="" textlink="">
      <xdr:nvSpPr>
        <xdr:cNvPr id="9" name="吹き出し: 四角形 8">
          <a:extLst>
            <a:ext uri="{FF2B5EF4-FFF2-40B4-BE49-F238E27FC236}">
              <a16:creationId xmlns:a16="http://schemas.microsoft.com/office/drawing/2014/main" id="{5DC9B27A-A76E-46AB-AC5A-F9272D21ED98}"/>
            </a:ext>
          </a:extLst>
        </xdr:cNvPr>
        <xdr:cNvSpPr/>
      </xdr:nvSpPr>
      <xdr:spPr>
        <a:xfrm>
          <a:off x="2206058" y="4350543"/>
          <a:ext cx="1741941" cy="796017"/>
        </a:xfrm>
        <a:prstGeom prst="wedgeRectCallout">
          <a:avLst>
            <a:gd name="adj1" fmla="val 59918"/>
            <a:gd name="adj2" fmla="val -160170"/>
          </a:avLst>
        </a:prstGeom>
        <a:solidFill>
          <a:schemeClr val="bg1">
            <a:lumMod val="6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2026/05/18</a:t>
          </a:r>
          <a:r>
            <a:rPr kumimoji="1" lang="ja-JP" altLang="en-US" sz="1100"/>
            <a:t>の場合</a:t>
          </a:r>
          <a:endParaRPr kumimoji="1" lang="en-US" altLang="ja-JP" sz="1100"/>
        </a:p>
        <a:p>
          <a:pPr algn="l"/>
          <a:r>
            <a:rPr kumimoji="1" lang="ja-JP" altLang="en-US" sz="1100"/>
            <a:t>作成対象年月：</a:t>
          </a:r>
          <a:r>
            <a:rPr kumimoji="1" lang="en-US" altLang="ja-JP" sz="1100"/>
            <a:t>2026/02</a:t>
          </a:r>
          <a:endParaRPr kumimoji="1" lang="ja-JP" altLang="en-US" sz="1100"/>
        </a:p>
      </xdr:txBody>
    </xdr:sp>
    <xdr:clientData/>
  </xdr:twoCellAnchor>
  <xdr:twoCellAnchor>
    <xdr:from>
      <xdr:col>36</xdr:col>
      <xdr:colOff>37193</xdr:colOff>
      <xdr:row>23</xdr:row>
      <xdr:rowOff>76540</xdr:rowOff>
    </xdr:from>
    <xdr:to>
      <xdr:col>45</xdr:col>
      <xdr:colOff>58284</xdr:colOff>
      <xdr:row>26</xdr:row>
      <xdr:rowOff>143328</xdr:rowOff>
    </xdr:to>
    <xdr:sp macro="" textlink="">
      <xdr:nvSpPr>
        <xdr:cNvPr id="10" name="吹き出し: 四角形 9">
          <a:extLst>
            <a:ext uri="{FF2B5EF4-FFF2-40B4-BE49-F238E27FC236}">
              <a16:creationId xmlns:a16="http://schemas.microsoft.com/office/drawing/2014/main" id="{7A334188-72AE-4245-9E86-023F6106DCEE}"/>
            </a:ext>
          </a:extLst>
        </xdr:cNvPr>
        <xdr:cNvSpPr/>
      </xdr:nvSpPr>
      <xdr:spPr>
        <a:xfrm>
          <a:off x="6895193" y="5439115"/>
          <a:ext cx="1735591" cy="781163"/>
        </a:xfrm>
        <a:prstGeom prst="wedgeRectCallout">
          <a:avLst>
            <a:gd name="adj1" fmla="val 73386"/>
            <a:gd name="adj2" fmla="val -159045"/>
          </a:avLst>
        </a:prstGeom>
        <a:solidFill>
          <a:schemeClr val="bg1">
            <a:lumMod val="6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2026/05/31</a:t>
          </a:r>
          <a:r>
            <a:rPr kumimoji="1" lang="ja-JP" altLang="en-US" sz="1100"/>
            <a:t>の場合</a:t>
          </a:r>
          <a:endParaRPr kumimoji="1" lang="en-US" altLang="ja-JP" sz="1100"/>
        </a:p>
        <a:p>
          <a:pPr algn="l"/>
          <a:r>
            <a:rPr kumimoji="1" lang="ja-JP" altLang="en-US" sz="1100"/>
            <a:t>作成対象年月：</a:t>
          </a:r>
          <a:r>
            <a:rPr kumimoji="1" lang="en-US" altLang="ja-JP" sz="1100"/>
            <a:t>2026/03</a:t>
          </a:r>
          <a:endParaRPr kumimoji="1" lang="ja-JP" altLang="en-US" sz="1100"/>
        </a:p>
      </xdr:txBody>
    </xdr:sp>
    <xdr:clientData/>
  </xdr:twoCellAnchor>
  <xdr:twoCellAnchor editAs="oneCell">
    <xdr:from>
      <xdr:col>0</xdr:col>
      <xdr:colOff>36286</xdr:colOff>
      <xdr:row>0</xdr:row>
      <xdr:rowOff>0</xdr:rowOff>
    </xdr:from>
    <xdr:to>
      <xdr:col>18</xdr:col>
      <xdr:colOff>188986</xdr:colOff>
      <xdr:row>1</xdr:row>
      <xdr:rowOff>18345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22C1E6E3-45EA-431E-8751-7CC987EB8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86" y="0"/>
          <a:ext cx="3581700" cy="25647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32657</xdr:colOff>
      <xdr:row>0</xdr:row>
      <xdr:rowOff>43542</xdr:rowOff>
    </xdr:from>
    <xdr:to>
      <xdr:col>22</xdr:col>
      <xdr:colOff>99261</xdr:colOff>
      <xdr:row>1</xdr:row>
      <xdr:rowOff>23787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146B2C2-A7AC-4D9C-AB4E-A65DACB62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57" y="43542"/>
          <a:ext cx="3628954" cy="218370"/>
        </a:xfrm>
        <a:prstGeom prst="rect">
          <a:avLst/>
        </a:prstGeom>
      </xdr:spPr>
    </xdr:pic>
    <xdr:clientData/>
  </xdr:twoCellAnchor>
  <xdr:twoCellAnchor>
    <xdr:from>
      <xdr:col>23</xdr:col>
      <xdr:colOff>148167</xdr:colOff>
      <xdr:row>10</xdr:row>
      <xdr:rowOff>105835</xdr:rowOff>
    </xdr:from>
    <xdr:to>
      <xdr:col>71</xdr:col>
      <xdr:colOff>0</xdr:colOff>
      <xdr:row>31</xdr:row>
      <xdr:rowOff>52918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A262FB33-F37A-46DB-893A-5C63499512E0}"/>
            </a:ext>
          </a:extLst>
        </xdr:cNvPr>
        <xdr:cNvSpPr/>
      </xdr:nvSpPr>
      <xdr:spPr>
        <a:xfrm>
          <a:off x="3872442" y="2229910"/>
          <a:ext cx="7624233" cy="354753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/>
            <a:t>入力項目チェックなし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1273104</xdr:colOff>
      <xdr:row>0</xdr:row>
      <xdr:rowOff>223662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D5905FB-D28F-48BF-99DE-3D8A721A5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559104" cy="2236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B986A-8650-4F49-9ACD-570797FB0052}">
  <dimension ref="A4:N33"/>
  <sheetViews>
    <sheetView showGridLines="0" view="pageBreakPreview" zoomScale="85" zoomScaleNormal="85" zoomScaleSheetLayoutView="85" workbookViewId="0">
      <selection activeCell="J15" sqref="J15"/>
    </sheetView>
  </sheetViews>
  <sheetFormatPr defaultRowHeight="18.75"/>
  <sheetData>
    <row r="4" spans="2:14" ht="18" customHeight="1">
      <c r="B4" s="199" t="str">
        <f>更新履歴!K4</f>
        <v>[バッチ設計]</v>
      </c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86"/>
    </row>
    <row r="5" spans="2:14" ht="18" customHeight="1">
      <c r="B5" s="199"/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86"/>
    </row>
    <row r="6" spans="2:14" ht="18" customHeight="1">
      <c r="B6" s="199"/>
      <c r="C6" s="199"/>
      <c r="D6" s="199"/>
      <c r="E6" s="199"/>
      <c r="F6" s="199"/>
      <c r="G6" s="199"/>
      <c r="H6" s="199"/>
      <c r="I6" s="199"/>
      <c r="J6" s="199"/>
      <c r="K6" s="199"/>
      <c r="L6" s="199"/>
      <c r="M6" s="199"/>
      <c r="N6" s="86"/>
    </row>
    <row r="7" spans="2:14" ht="18" customHeight="1">
      <c r="B7" s="200" t="str">
        <f>更新履歴!K5&amp;CHAR(10) &amp;更新履歴!K6</f>
        <v xml:space="preserve">顧客情報と30分値データの連携機能
</v>
      </c>
      <c r="C7" s="200"/>
      <c r="D7" s="200"/>
      <c r="E7" s="200"/>
      <c r="F7" s="200"/>
      <c r="G7" s="200"/>
      <c r="H7" s="200"/>
      <c r="I7" s="200"/>
      <c r="J7" s="200"/>
      <c r="K7" s="200"/>
      <c r="L7" s="200"/>
      <c r="M7" s="200"/>
      <c r="N7" s="88"/>
    </row>
    <row r="8" spans="2:14" ht="18" customHeight="1">
      <c r="B8" s="200"/>
      <c r="C8" s="200"/>
      <c r="D8" s="200"/>
      <c r="E8" s="200"/>
      <c r="F8" s="200"/>
      <c r="G8" s="200"/>
      <c r="H8" s="200"/>
      <c r="I8" s="200"/>
      <c r="J8" s="200"/>
      <c r="K8" s="200"/>
      <c r="L8" s="200"/>
      <c r="M8" s="200"/>
      <c r="N8" s="88"/>
    </row>
    <row r="9" spans="2:14" ht="18" customHeight="1">
      <c r="B9" s="200"/>
      <c r="C9" s="200"/>
      <c r="D9" s="200"/>
      <c r="E9" s="200"/>
      <c r="F9" s="200"/>
      <c r="G9" s="200"/>
      <c r="H9" s="200"/>
      <c r="I9" s="200"/>
      <c r="J9" s="200"/>
      <c r="K9" s="200"/>
      <c r="L9" s="200"/>
      <c r="M9" s="200"/>
      <c r="N9" s="88"/>
    </row>
    <row r="10" spans="2:14" ht="18" customHeight="1">
      <c r="B10" s="200"/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88"/>
    </row>
    <row r="11" spans="2:14" ht="18" customHeight="1">
      <c r="B11" s="200"/>
      <c r="C11" s="200"/>
      <c r="D11" s="200"/>
      <c r="E11" s="200"/>
      <c r="F11" s="200"/>
      <c r="G11" s="200"/>
      <c r="H11" s="200"/>
      <c r="I11" s="200"/>
      <c r="J11" s="200"/>
      <c r="K11" s="200"/>
      <c r="L11" s="200"/>
      <c r="M11" s="200"/>
      <c r="N11" s="88"/>
    </row>
    <row r="12" spans="2:14" ht="18" customHeight="1">
      <c r="B12" s="200"/>
      <c r="C12" s="200"/>
      <c r="D12" s="200"/>
      <c r="E12" s="200"/>
      <c r="F12" s="200"/>
      <c r="G12" s="200"/>
      <c r="H12" s="200"/>
      <c r="I12" s="200"/>
      <c r="J12" s="200"/>
      <c r="K12" s="200"/>
      <c r="L12" s="200"/>
      <c r="M12" s="200"/>
      <c r="N12" s="88"/>
    </row>
    <row r="13" spans="2:14" ht="18" customHeight="1">
      <c r="B13" s="200"/>
      <c r="C13" s="200"/>
      <c r="D13" s="200"/>
      <c r="E13" s="200"/>
      <c r="F13" s="200"/>
      <c r="G13" s="200"/>
      <c r="H13" s="200"/>
      <c r="I13" s="200"/>
      <c r="J13" s="200"/>
      <c r="K13" s="200"/>
      <c r="L13" s="200"/>
      <c r="M13" s="200"/>
      <c r="N13" s="88"/>
    </row>
    <row r="14" spans="2:14" ht="18" customHeight="1">
      <c r="B14" s="200"/>
      <c r="C14" s="200"/>
      <c r="D14" s="200"/>
      <c r="E14" s="200"/>
      <c r="F14" s="200"/>
      <c r="G14" s="200"/>
      <c r="H14" s="200"/>
      <c r="I14" s="200"/>
      <c r="J14" s="200"/>
      <c r="K14" s="200"/>
      <c r="L14" s="200"/>
      <c r="M14" s="200"/>
      <c r="N14" s="88"/>
    </row>
    <row r="18" spans="1:14" ht="18" customHeight="1">
      <c r="B18" s="199" t="str">
        <f>更新履歴!K1</f>
        <v>CNレポート作成アプリ「LecMoc」</v>
      </c>
      <c r="C18" s="199"/>
      <c r="D18" s="199"/>
      <c r="E18" s="199"/>
      <c r="F18" s="199"/>
      <c r="G18" s="199"/>
      <c r="H18" s="199"/>
      <c r="I18" s="199"/>
      <c r="J18" s="199"/>
      <c r="K18" s="199"/>
      <c r="L18" s="199"/>
      <c r="M18" s="199"/>
      <c r="N18" s="86"/>
    </row>
    <row r="19" spans="1:14" ht="18" customHeight="1">
      <c r="B19" s="199"/>
      <c r="C19" s="199"/>
      <c r="D19" s="199"/>
      <c r="E19" s="199"/>
      <c r="F19" s="199"/>
      <c r="G19" s="199"/>
      <c r="H19" s="199"/>
      <c r="I19" s="199"/>
      <c r="J19" s="199"/>
      <c r="K19" s="199"/>
      <c r="L19" s="199"/>
      <c r="M19" s="199"/>
      <c r="N19" s="86"/>
    </row>
    <row r="20" spans="1:14" ht="18" customHeight="1">
      <c r="B20" s="199"/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86"/>
    </row>
    <row r="21" spans="1:14" ht="18" customHeight="1">
      <c r="B21" s="201" t="str">
        <f>更新履歴!K2</f>
        <v>2026.12.21</v>
      </c>
      <c r="C21" s="201"/>
      <c r="D21" s="201"/>
      <c r="E21" s="201"/>
      <c r="F21" s="201"/>
      <c r="G21" s="201"/>
      <c r="H21" s="201"/>
      <c r="I21" s="201"/>
      <c r="J21" s="201"/>
      <c r="K21" s="201"/>
      <c r="L21" s="201"/>
      <c r="M21" s="201"/>
      <c r="N21" s="87"/>
    </row>
    <row r="22" spans="1:14" ht="18" customHeight="1">
      <c r="B22" s="201"/>
      <c r="C22" s="201"/>
      <c r="D22" s="201"/>
      <c r="E22" s="201"/>
      <c r="F22" s="201"/>
      <c r="G22" s="201"/>
      <c r="H22" s="201"/>
      <c r="I22" s="201"/>
      <c r="J22" s="201"/>
      <c r="K22" s="201"/>
      <c r="L22" s="201"/>
      <c r="M22" s="201"/>
      <c r="N22" s="87"/>
    </row>
    <row r="23" spans="1:14">
      <c r="A23" t="s">
        <v>128</v>
      </c>
    </row>
    <row r="24" spans="1:14">
      <c r="A24" t="s">
        <v>127</v>
      </c>
      <c r="F24" t="s">
        <v>135</v>
      </c>
    </row>
    <row r="25" spans="1:14">
      <c r="A25" t="s">
        <v>126</v>
      </c>
      <c r="F25" t="s">
        <v>138</v>
      </c>
    </row>
    <row r="27" spans="1:14">
      <c r="A27" t="s">
        <v>129</v>
      </c>
    </row>
    <row r="28" spans="1:14">
      <c r="A28" t="s">
        <v>130</v>
      </c>
      <c r="F28" t="s">
        <v>135</v>
      </c>
    </row>
    <row r="29" spans="1:14">
      <c r="A29" t="s">
        <v>131</v>
      </c>
      <c r="F29" t="s">
        <v>135</v>
      </c>
    </row>
    <row r="30" spans="1:14">
      <c r="A30" t="s">
        <v>132</v>
      </c>
      <c r="F30" t="s">
        <v>135</v>
      </c>
    </row>
    <row r="31" spans="1:14">
      <c r="A31" t="s">
        <v>133</v>
      </c>
      <c r="F31" t="s">
        <v>136</v>
      </c>
    </row>
    <row r="32" spans="1:14">
      <c r="A32" t="s">
        <v>134</v>
      </c>
      <c r="F32" t="s">
        <v>137</v>
      </c>
    </row>
    <row r="33" spans="1:6">
      <c r="A33" t="s">
        <v>139</v>
      </c>
      <c r="F33" t="s">
        <v>140</v>
      </c>
    </row>
  </sheetData>
  <mergeCells count="4">
    <mergeCell ref="B4:M6"/>
    <mergeCell ref="B7:M14"/>
    <mergeCell ref="B18:M20"/>
    <mergeCell ref="B21:M22"/>
  </mergeCells>
  <phoneticPr fontId="6"/>
  <pageMargins left="0.7" right="0.7" top="0.75" bottom="0.75" header="0.3" footer="0.3"/>
  <pageSetup paperSize="9" scale="9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68CA8-E242-4D4F-81C8-7F5D17337DA5}">
  <sheetPr>
    <pageSetUpPr fitToPage="1"/>
  </sheetPr>
  <dimension ref="A1:V12"/>
  <sheetViews>
    <sheetView showGridLines="0" view="pageBreakPreview" zoomScaleNormal="85" zoomScaleSheetLayoutView="100" workbookViewId="0">
      <selection activeCell="K5" sqref="K5"/>
    </sheetView>
  </sheetViews>
  <sheetFormatPr defaultRowHeight="18.75"/>
  <cols>
    <col min="1" max="1" width="5.125" customWidth="1"/>
    <col min="2" max="9" width="13" customWidth="1"/>
    <col min="11" max="11" width="17.25" customWidth="1"/>
    <col min="14" max="14" width="11.25" customWidth="1"/>
  </cols>
  <sheetData>
    <row r="1" spans="1:22" s="4" customFormat="1" ht="15.75">
      <c r="A1" s="206" t="str">
        <f>K4</f>
        <v>[バッチ設計]</v>
      </c>
      <c r="B1" s="207"/>
      <c r="C1" s="67" t="str">
        <f>K8</f>
        <v>顧客情報と30分値データの連携機能</v>
      </c>
      <c r="D1" s="67"/>
      <c r="E1" s="67"/>
      <c r="F1" s="68" t="s">
        <v>0</v>
      </c>
      <c r="G1" s="208" t="str">
        <f>K1</f>
        <v>CNレポート作成アプリ「LecMoc」</v>
      </c>
      <c r="H1" s="208"/>
      <c r="I1" s="208"/>
      <c r="J1" s="5" t="s">
        <v>99</v>
      </c>
      <c r="K1" s="5" t="s">
        <v>100</v>
      </c>
      <c r="L1" s="5"/>
      <c r="M1" s="5"/>
      <c r="N1" s="5"/>
      <c r="O1" s="209"/>
      <c r="P1" s="209"/>
      <c r="Q1" s="209"/>
      <c r="R1" s="209"/>
      <c r="S1" s="209"/>
      <c r="T1" s="209"/>
      <c r="U1" s="1"/>
      <c r="V1" s="7"/>
    </row>
    <row r="2" spans="1:22" s="11" customFormat="1" ht="15.75">
      <c r="A2" s="8" t="s">
        <v>1</v>
      </c>
      <c r="B2" s="210" t="s">
        <v>2</v>
      </c>
      <c r="C2" s="211"/>
      <c r="D2" s="9" t="s">
        <v>3</v>
      </c>
      <c r="E2" s="9" t="s">
        <v>4</v>
      </c>
      <c r="F2" s="8" t="s">
        <v>5</v>
      </c>
      <c r="G2" s="8" t="s">
        <v>6</v>
      </c>
      <c r="H2" s="8" t="s">
        <v>122</v>
      </c>
      <c r="I2" s="10" t="s">
        <v>123</v>
      </c>
      <c r="J2" s="5" t="s">
        <v>101</v>
      </c>
      <c r="K2" s="5" t="s">
        <v>102</v>
      </c>
      <c r="L2" s="5"/>
      <c r="M2" s="5"/>
      <c r="N2" s="5"/>
      <c r="O2" s="209"/>
      <c r="P2" s="209"/>
      <c r="Q2" s="209"/>
      <c r="R2" s="209"/>
      <c r="S2" s="209"/>
      <c r="T2" s="209"/>
      <c r="U2" s="1"/>
      <c r="V2" s="7"/>
    </row>
    <row r="3" spans="1:22" s="5" customFormat="1" ht="49.9" customHeight="1">
      <c r="A3" s="12" t="s">
        <v>8</v>
      </c>
      <c r="B3" s="202" t="s">
        <v>109</v>
      </c>
      <c r="C3" s="203"/>
      <c r="D3" s="13" t="s">
        <v>9</v>
      </c>
      <c r="E3" s="13" t="s">
        <v>10</v>
      </c>
      <c r="F3" s="14">
        <v>46225</v>
      </c>
      <c r="G3" s="15" t="s">
        <v>141</v>
      </c>
      <c r="H3" s="14">
        <v>46233</v>
      </c>
      <c r="I3" s="113" t="s">
        <v>141</v>
      </c>
      <c r="L3" s="6"/>
      <c r="M3" s="1"/>
      <c r="N3" s="7"/>
      <c r="R3" s="6"/>
      <c r="S3" s="6"/>
      <c r="T3" s="6"/>
      <c r="U3" s="6"/>
      <c r="V3" s="6"/>
    </row>
    <row r="4" spans="1:22" s="5" customFormat="1" ht="15.75">
      <c r="A4" s="12"/>
      <c r="B4" s="204"/>
      <c r="C4" s="203"/>
      <c r="D4" s="13"/>
      <c r="E4" s="16"/>
      <c r="F4" s="14"/>
      <c r="G4" s="15"/>
      <c r="H4" s="14"/>
      <c r="I4" s="15"/>
      <c r="J4" s="5" t="s">
        <v>103</v>
      </c>
      <c r="K4" s="5" t="s">
        <v>108</v>
      </c>
      <c r="M4" s="1"/>
      <c r="N4" s="7"/>
    </row>
    <row r="5" spans="1:22" s="5" customFormat="1" ht="15.75">
      <c r="A5" s="12"/>
      <c r="B5" s="202"/>
      <c r="C5" s="203"/>
      <c r="D5" s="1"/>
      <c r="E5" s="16"/>
      <c r="F5" s="14"/>
      <c r="G5" s="15"/>
      <c r="H5" s="14"/>
      <c r="I5" s="15"/>
      <c r="J5" s="5" t="s">
        <v>104</v>
      </c>
      <c r="K5" s="5" t="s">
        <v>143</v>
      </c>
      <c r="M5" s="1"/>
      <c r="N5" s="7"/>
    </row>
    <row r="6" spans="1:22" s="5" customFormat="1" ht="15.75">
      <c r="A6" s="12"/>
      <c r="B6" s="204"/>
      <c r="C6" s="203"/>
      <c r="D6" s="17"/>
      <c r="E6" s="13"/>
      <c r="F6" s="14"/>
      <c r="G6" s="15"/>
      <c r="H6" s="14"/>
      <c r="I6" s="15"/>
      <c r="J6" s="5" t="s">
        <v>105</v>
      </c>
      <c r="M6" s="1"/>
      <c r="N6" s="7"/>
    </row>
    <row r="7" spans="1:22" s="5" customFormat="1" ht="15.75">
      <c r="A7" s="12"/>
      <c r="B7" s="202"/>
      <c r="C7" s="203"/>
      <c r="D7" s="17"/>
      <c r="E7" s="13"/>
      <c r="F7" s="14"/>
      <c r="G7" s="15"/>
      <c r="H7" s="14"/>
      <c r="I7" s="15"/>
      <c r="J7" s="5" t="s">
        <v>106</v>
      </c>
      <c r="K7" s="18" t="s">
        <v>142</v>
      </c>
      <c r="M7" s="1"/>
      <c r="N7" s="19"/>
    </row>
    <row r="8" spans="1:22" s="5" customFormat="1" ht="15.75">
      <c r="A8" s="12"/>
      <c r="B8" s="202"/>
      <c r="C8" s="203"/>
      <c r="D8" s="17"/>
      <c r="E8" s="17"/>
      <c r="F8" s="14"/>
      <c r="G8" s="15"/>
      <c r="H8" s="14"/>
      <c r="I8" s="15"/>
      <c r="J8" s="5" t="s">
        <v>107</v>
      </c>
      <c r="K8" s="5" t="str">
        <f>K5</f>
        <v>顧客情報と30分値データの連携機能</v>
      </c>
      <c r="M8" s="1"/>
      <c r="N8" s="19"/>
    </row>
    <row r="9" spans="1:22" s="5" customFormat="1" ht="15.75">
      <c r="A9" s="12"/>
      <c r="B9" s="202"/>
      <c r="C9" s="205"/>
      <c r="D9" s="20"/>
      <c r="E9" s="17"/>
      <c r="F9" s="14"/>
      <c r="G9" s="15"/>
      <c r="H9" s="14"/>
      <c r="I9" s="15"/>
      <c r="M9" s="1"/>
      <c r="N9" s="19"/>
    </row>
    <row r="10" spans="1:22" s="5" customFormat="1" ht="15.75">
      <c r="A10" s="21"/>
      <c r="B10" s="202"/>
      <c r="C10" s="203"/>
      <c r="D10" s="22"/>
      <c r="E10" s="23"/>
      <c r="F10" s="14"/>
      <c r="G10" s="15"/>
      <c r="H10" s="14"/>
      <c r="I10" s="15"/>
      <c r="U10" s="2"/>
      <c r="V10" s="2"/>
    </row>
    <row r="11" spans="1:22" s="5" customFormat="1" ht="15.75">
      <c r="A11" s="21"/>
      <c r="B11" s="202"/>
      <c r="C11" s="203"/>
      <c r="D11" s="22"/>
      <c r="E11" s="23"/>
      <c r="F11" s="14"/>
      <c r="G11" s="15"/>
      <c r="H11" s="14"/>
      <c r="I11" s="15"/>
      <c r="U11" s="2"/>
      <c r="V11" s="2"/>
    </row>
    <row r="12" spans="1:22" s="5" customFormat="1" ht="15.75">
      <c r="A12" s="24"/>
      <c r="B12" s="202"/>
      <c r="C12" s="203"/>
      <c r="D12" s="17"/>
      <c r="E12" s="13"/>
      <c r="F12" s="14"/>
      <c r="G12" s="15"/>
      <c r="H12" s="14"/>
      <c r="I12" s="15"/>
      <c r="U12" s="2"/>
      <c r="V12" s="2"/>
    </row>
  </sheetData>
  <mergeCells count="14">
    <mergeCell ref="B4:C4"/>
    <mergeCell ref="A1:B1"/>
    <mergeCell ref="G1:I1"/>
    <mergeCell ref="O1:T2"/>
    <mergeCell ref="B2:C2"/>
    <mergeCell ref="B3:C3"/>
    <mergeCell ref="B11:C11"/>
    <mergeCell ref="B12:C12"/>
    <mergeCell ref="B5:C5"/>
    <mergeCell ref="B6:C6"/>
    <mergeCell ref="B7:C7"/>
    <mergeCell ref="B8:C8"/>
    <mergeCell ref="B9:C9"/>
    <mergeCell ref="B10:C10"/>
  </mergeCells>
  <phoneticPr fontId="6"/>
  <pageMargins left="0.7" right="0.7" top="0.75" bottom="0.75" header="0.3" footer="0.3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N41"/>
  <sheetViews>
    <sheetView showGridLines="0" zoomScale="80" zoomScaleNormal="80" workbookViewId="0">
      <selection activeCell="L25" sqref="L25"/>
    </sheetView>
  </sheetViews>
  <sheetFormatPr defaultColWidth="3.625" defaultRowHeight="18.75"/>
  <cols>
    <col min="7" max="7" width="6.75" customWidth="1"/>
  </cols>
  <sheetData>
    <row r="1" spans="1:66">
      <c r="N1" s="70" t="str">
        <f>更新履歴!K2</f>
        <v>2026.12.21</v>
      </c>
    </row>
    <row r="2" spans="1:66" ht="19.5" thickBot="1"/>
    <row r="3" spans="1:66" s="69" customFormat="1" ht="13.5" customHeight="1">
      <c r="A3" s="212" t="s">
        <v>109</v>
      </c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212"/>
      <c r="M3" s="212"/>
      <c r="N3" s="212"/>
      <c r="O3" s="212"/>
      <c r="P3" s="212"/>
      <c r="Q3" s="212"/>
      <c r="R3" s="212"/>
      <c r="S3" s="212"/>
      <c r="T3" s="212"/>
      <c r="U3" s="212"/>
      <c r="V3" s="212"/>
      <c r="W3" s="212"/>
      <c r="X3" s="212"/>
      <c r="Y3" s="212"/>
      <c r="Z3" s="212"/>
      <c r="AL3" s="107" t="s">
        <v>7</v>
      </c>
      <c r="AM3" s="108"/>
      <c r="AN3" s="108"/>
      <c r="AO3" s="108"/>
      <c r="AP3" s="108"/>
      <c r="AQ3" s="109"/>
      <c r="AR3" s="218" t="str">
        <f>更新履歴!K1</f>
        <v>CNレポート作成アプリ「LecMoc」</v>
      </c>
      <c r="AS3" s="219"/>
      <c r="AT3" s="219"/>
      <c r="AU3" s="219"/>
      <c r="AV3" s="219"/>
      <c r="AW3" s="219"/>
      <c r="AX3" s="219"/>
      <c r="AY3" s="219"/>
      <c r="AZ3" s="220"/>
      <c r="BA3"/>
      <c r="BB3"/>
      <c r="BC3"/>
      <c r="BD3"/>
      <c r="BE3"/>
      <c r="BF3"/>
      <c r="BG3"/>
      <c r="BH3"/>
      <c r="BI3"/>
      <c r="BJ3"/>
      <c r="BK3"/>
      <c r="BL3"/>
      <c r="BM3"/>
      <c r="BN3"/>
    </row>
    <row r="4" spans="1:66" s="69" customFormat="1" ht="13.5" customHeight="1" thickBot="1">
      <c r="A4" s="213"/>
      <c r="B4" s="213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  <c r="W4" s="213"/>
      <c r="X4" s="213"/>
      <c r="Y4" s="213"/>
      <c r="Z4" s="213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110" t="s">
        <v>94</v>
      </c>
      <c r="AM4" s="111"/>
      <c r="AN4" s="111"/>
      <c r="AO4" s="111"/>
      <c r="AP4" s="111"/>
      <c r="AQ4" s="112"/>
      <c r="AR4" s="97" t="s">
        <v>115</v>
      </c>
      <c r="AS4" s="98"/>
      <c r="AT4" s="98"/>
      <c r="AU4" s="98"/>
      <c r="AV4" s="98"/>
      <c r="AW4" s="98"/>
      <c r="AX4" s="98"/>
      <c r="AY4" s="98"/>
      <c r="AZ4" s="99"/>
      <c r="BA4"/>
      <c r="BB4"/>
      <c r="BC4"/>
      <c r="BD4"/>
      <c r="BE4"/>
      <c r="BF4"/>
      <c r="BG4"/>
      <c r="BH4"/>
      <c r="BI4"/>
      <c r="BJ4"/>
      <c r="BK4"/>
      <c r="BL4"/>
      <c r="BM4"/>
      <c r="BN4"/>
    </row>
    <row r="5" spans="1:66" s="69" customFormat="1" ht="19.5" customHeight="1">
      <c r="A5" s="229" t="s">
        <v>148</v>
      </c>
      <c r="B5" s="230"/>
      <c r="C5" s="230"/>
      <c r="D5" s="230"/>
      <c r="E5" s="230"/>
      <c r="F5" s="231"/>
      <c r="G5" s="232" t="s">
        <v>322</v>
      </c>
      <c r="H5" s="233"/>
      <c r="I5" s="233"/>
      <c r="J5" s="233"/>
      <c r="K5" s="233"/>
      <c r="L5" s="233"/>
      <c r="M5" s="233"/>
      <c r="N5" s="234"/>
      <c r="O5" s="235" t="s">
        <v>149</v>
      </c>
      <c r="P5" s="236"/>
      <c r="Q5" s="236"/>
      <c r="R5" s="236"/>
      <c r="S5" s="236"/>
      <c r="T5" s="237"/>
      <c r="U5" s="238" t="s">
        <v>323</v>
      </c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40"/>
      <c r="AI5" s="127"/>
      <c r="AJ5" s="128"/>
      <c r="AK5" s="128"/>
      <c r="AL5" s="128"/>
      <c r="AM5" s="128"/>
      <c r="AN5" s="128"/>
      <c r="AO5" s="128"/>
      <c r="AP5" s="128"/>
      <c r="AQ5" s="128"/>
      <c r="AR5" s="128"/>
      <c r="AS5" s="128"/>
      <c r="AT5" s="128"/>
      <c r="AU5" s="128"/>
      <c r="AV5" s="128"/>
      <c r="AW5" s="128"/>
      <c r="AX5" s="128"/>
      <c r="AY5" s="128"/>
      <c r="AZ5" s="129"/>
      <c r="BA5"/>
      <c r="BB5"/>
      <c r="BC5"/>
      <c r="BD5"/>
      <c r="BE5"/>
      <c r="BF5"/>
      <c r="BG5"/>
      <c r="BH5"/>
      <c r="BI5"/>
      <c r="BJ5"/>
      <c r="BK5"/>
      <c r="BL5"/>
      <c r="BM5"/>
      <c r="BN5"/>
    </row>
    <row r="6" spans="1:66" s="69" customFormat="1" ht="19.5" customHeight="1">
      <c r="A6" s="244" t="s">
        <v>120</v>
      </c>
      <c r="B6" s="245"/>
      <c r="C6" s="245"/>
      <c r="D6" s="245"/>
      <c r="E6" s="245"/>
      <c r="F6" s="246"/>
      <c r="G6" s="247" t="str">
        <f>更新履歴!K7</f>
        <v>BLMMVMVBUILDING</v>
      </c>
      <c r="H6" s="248"/>
      <c r="I6" s="248"/>
      <c r="J6" s="248"/>
      <c r="K6" s="248"/>
      <c r="L6" s="248"/>
      <c r="M6" s="248"/>
      <c r="N6" s="249"/>
      <c r="O6" s="250" t="s">
        <v>121</v>
      </c>
      <c r="P6" s="251"/>
      <c r="Q6" s="251"/>
      <c r="R6" s="251"/>
      <c r="S6" s="251"/>
      <c r="T6" s="252"/>
      <c r="U6" s="253" t="str">
        <f>更新履歴!K8</f>
        <v>顧客情報と30分値データの連携機能</v>
      </c>
      <c r="V6" s="254"/>
      <c r="W6" s="254"/>
      <c r="X6" s="254"/>
      <c r="Y6" s="254"/>
      <c r="Z6" s="254"/>
      <c r="AA6" s="254"/>
      <c r="AB6" s="254"/>
      <c r="AC6" s="254"/>
      <c r="AD6" s="254"/>
      <c r="AE6" s="254"/>
      <c r="AF6" s="254"/>
      <c r="AG6" s="254"/>
      <c r="AH6" s="255"/>
      <c r="AI6" s="130"/>
      <c r="AJ6" s="131"/>
      <c r="AK6" s="131"/>
      <c r="AL6" s="131"/>
      <c r="AM6" s="131"/>
      <c r="AN6" s="131"/>
      <c r="AO6" s="131"/>
      <c r="AP6" s="131"/>
      <c r="AQ6" s="131"/>
      <c r="AR6" s="131"/>
      <c r="AS6" s="131"/>
      <c r="AT6" s="131"/>
      <c r="AU6" s="131"/>
      <c r="AV6" s="131"/>
      <c r="AW6" s="131"/>
      <c r="AX6" s="131"/>
      <c r="AY6" s="131"/>
      <c r="AZ6" s="132"/>
      <c r="BA6"/>
      <c r="BB6"/>
      <c r="BC6"/>
      <c r="BD6"/>
      <c r="BE6"/>
      <c r="BF6"/>
      <c r="BG6"/>
      <c r="BH6"/>
      <c r="BI6"/>
      <c r="BJ6"/>
      <c r="BK6"/>
      <c r="BL6"/>
      <c r="BM6"/>
      <c r="BN6"/>
    </row>
    <row r="7" spans="1:66" s="69" customFormat="1" ht="19.5" customHeight="1">
      <c r="A7" s="214" t="s">
        <v>112</v>
      </c>
      <c r="B7" s="215"/>
      <c r="C7" s="215"/>
      <c r="D7" s="215"/>
      <c r="E7" s="215"/>
      <c r="F7" s="215"/>
      <c r="G7" s="226" t="s">
        <v>234</v>
      </c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7"/>
      <c r="V7" s="227"/>
      <c r="W7" s="227"/>
      <c r="X7" s="227"/>
      <c r="Y7" s="227"/>
      <c r="Z7" s="227"/>
      <c r="AA7" s="227"/>
      <c r="AB7" s="227"/>
      <c r="AC7" s="227"/>
      <c r="AD7" s="227"/>
      <c r="AE7" s="227"/>
      <c r="AF7" s="227"/>
      <c r="AG7" s="227"/>
      <c r="AH7" s="227"/>
      <c r="AI7" s="227"/>
      <c r="AJ7" s="227"/>
      <c r="AK7" s="227"/>
      <c r="AL7" s="227"/>
      <c r="AM7" s="227"/>
      <c r="AN7" s="227"/>
      <c r="AO7" s="227"/>
      <c r="AP7" s="227"/>
      <c r="AQ7" s="227"/>
      <c r="AR7" s="227"/>
      <c r="AS7" s="227"/>
      <c r="AT7" s="227"/>
      <c r="AU7" s="227"/>
      <c r="AV7" s="227"/>
      <c r="AW7" s="227"/>
      <c r="AX7" s="227"/>
      <c r="AY7" s="227"/>
      <c r="AZ7" s="228"/>
      <c r="BA7"/>
      <c r="BB7"/>
      <c r="BC7"/>
      <c r="BD7"/>
      <c r="BE7"/>
      <c r="BF7"/>
      <c r="BG7"/>
      <c r="BH7"/>
      <c r="BI7"/>
      <c r="BJ7"/>
      <c r="BK7"/>
      <c r="BL7"/>
      <c r="BM7"/>
      <c r="BN7"/>
    </row>
    <row r="8" spans="1:66" s="69" customFormat="1" ht="19.5" customHeight="1" thickBot="1">
      <c r="A8" s="216" t="s">
        <v>110</v>
      </c>
      <c r="B8" s="217"/>
      <c r="C8" s="217"/>
      <c r="D8" s="217"/>
      <c r="E8" s="217"/>
      <c r="F8" s="217"/>
      <c r="G8" s="223" t="s">
        <v>147</v>
      </c>
      <c r="H8" s="224"/>
      <c r="I8" s="224"/>
      <c r="J8" s="224"/>
      <c r="K8" s="224"/>
      <c r="L8" s="224"/>
      <c r="M8" s="224"/>
      <c r="N8" s="225"/>
      <c r="O8" s="241" t="s">
        <v>111</v>
      </c>
      <c r="P8" s="242"/>
      <c r="Q8" s="242"/>
      <c r="R8" s="242"/>
      <c r="S8" s="242"/>
      <c r="T8" s="243"/>
      <c r="U8" s="221" t="s">
        <v>156</v>
      </c>
      <c r="V8" s="221"/>
      <c r="W8" s="221"/>
      <c r="X8" s="221"/>
      <c r="Y8" s="221"/>
      <c r="Z8" s="221"/>
      <c r="AA8" s="221"/>
      <c r="AB8" s="221"/>
      <c r="AC8" s="221"/>
      <c r="AD8" s="221"/>
      <c r="AE8" s="221"/>
      <c r="AF8" s="221"/>
      <c r="AG8" s="221"/>
      <c r="AH8" s="222"/>
      <c r="AI8" s="133"/>
      <c r="AJ8" s="134"/>
      <c r="AK8" s="134"/>
      <c r="AL8" s="134"/>
      <c r="AM8" s="134"/>
      <c r="AN8" s="134"/>
      <c r="AO8" s="134"/>
      <c r="AP8" s="134"/>
      <c r="AQ8" s="134"/>
      <c r="AR8" s="134"/>
      <c r="AS8" s="134"/>
      <c r="AT8" s="134"/>
      <c r="AU8" s="134"/>
      <c r="AV8" s="134"/>
      <c r="AW8" s="134"/>
      <c r="AX8" s="134"/>
      <c r="AY8" s="134"/>
      <c r="AZ8" s="135"/>
      <c r="BA8"/>
      <c r="BB8"/>
      <c r="BC8"/>
      <c r="BD8"/>
      <c r="BE8"/>
      <c r="BF8"/>
      <c r="BG8"/>
      <c r="BH8"/>
      <c r="BI8"/>
      <c r="BJ8"/>
      <c r="BK8"/>
      <c r="BL8"/>
      <c r="BM8"/>
      <c r="BN8"/>
    </row>
    <row r="9" spans="1:66" s="1" customFormat="1" ht="15" thickTop="1">
      <c r="A9" s="26"/>
      <c r="AZ9" s="25"/>
    </row>
    <row r="10" spans="1:66" s="1" customFormat="1" ht="14.25">
      <c r="A10" s="27"/>
      <c r="AZ10" s="25"/>
    </row>
    <row r="11" spans="1:66" s="1" customFormat="1" ht="14.25">
      <c r="A11" s="27"/>
      <c r="AZ11" s="25"/>
    </row>
    <row r="12" spans="1:66" s="1" customFormat="1" ht="14.25">
      <c r="A12" s="27"/>
      <c r="AZ12" s="25"/>
    </row>
    <row r="13" spans="1:66" s="1" customFormat="1" ht="14.25">
      <c r="A13" s="27"/>
      <c r="AZ13" s="25"/>
    </row>
    <row r="14" spans="1:66" s="1" customFormat="1" ht="14.25">
      <c r="A14" s="27"/>
      <c r="AZ14" s="25"/>
    </row>
    <row r="15" spans="1:66" s="1" customFormat="1" ht="14.25">
      <c r="A15" s="27"/>
      <c r="AZ15" s="25"/>
    </row>
    <row r="16" spans="1:66" s="1" customFormat="1" ht="14.25">
      <c r="A16" s="27"/>
      <c r="AZ16" s="25"/>
    </row>
    <row r="17" spans="1:52" s="1" customFormat="1" ht="14.25">
      <c r="A17" s="27"/>
      <c r="AZ17" s="25"/>
    </row>
    <row r="18" spans="1:52" s="1" customFormat="1" ht="14.25">
      <c r="A18" s="27"/>
      <c r="AZ18" s="25"/>
    </row>
    <row r="19" spans="1:52" s="1" customFormat="1" ht="14.25">
      <c r="A19" s="27"/>
      <c r="AZ19" s="25"/>
    </row>
    <row r="20" spans="1:52" s="1" customFormat="1" ht="14.25">
      <c r="A20" s="27"/>
      <c r="AZ20" s="25"/>
    </row>
    <row r="21" spans="1:52" s="1" customFormat="1" ht="14.25">
      <c r="A21" s="27"/>
      <c r="AZ21" s="25"/>
    </row>
    <row r="22" spans="1:52" s="1" customFormat="1" ht="14.25">
      <c r="A22" s="27"/>
      <c r="AZ22" s="25"/>
    </row>
    <row r="23" spans="1:52" s="1" customFormat="1" ht="14.25">
      <c r="A23" s="27"/>
      <c r="AZ23" s="25"/>
    </row>
    <row r="24" spans="1:52" s="1" customFormat="1" ht="14.25">
      <c r="A24" s="27"/>
      <c r="AZ24" s="25"/>
    </row>
    <row r="25" spans="1:52" s="1" customFormat="1" ht="14.25">
      <c r="A25" s="27"/>
      <c r="AZ25" s="25"/>
    </row>
    <row r="26" spans="1:52" s="1" customFormat="1" ht="14.25">
      <c r="A26" s="27"/>
      <c r="AZ26" s="25"/>
    </row>
    <row r="27" spans="1:52" s="1" customFormat="1" ht="14.25">
      <c r="A27" s="27"/>
      <c r="AZ27" s="25"/>
    </row>
    <row r="28" spans="1:52" s="1" customFormat="1" ht="14.25">
      <c r="A28" s="27"/>
      <c r="AZ28" s="25"/>
    </row>
    <row r="29" spans="1:52" s="1" customFormat="1" ht="14.25">
      <c r="A29" s="27"/>
      <c r="AZ29" s="25"/>
    </row>
    <row r="30" spans="1:52" s="1" customFormat="1" ht="14.25">
      <c r="A30" s="27"/>
      <c r="AZ30" s="25"/>
    </row>
    <row r="31" spans="1:52" s="1" customFormat="1" ht="14.25">
      <c r="A31" s="27"/>
      <c r="AZ31" s="25"/>
    </row>
    <row r="32" spans="1:52" s="1" customFormat="1" ht="14.25">
      <c r="A32" s="27"/>
      <c r="AZ32" s="25"/>
    </row>
    <row r="33" spans="1:52" s="1" customFormat="1" ht="14.25">
      <c r="A33" s="27"/>
      <c r="AZ33" s="25"/>
    </row>
    <row r="34" spans="1:52" s="1" customFormat="1" ht="14.25">
      <c r="A34" s="28"/>
      <c r="AZ34" s="25"/>
    </row>
    <row r="35" spans="1:52" s="1" customFormat="1" ht="14.25">
      <c r="A35" s="28"/>
      <c r="AZ35" s="25"/>
    </row>
    <row r="36" spans="1:52" s="1" customFormat="1" ht="14.25">
      <c r="A36" s="28"/>
      <c r="AZ36" s="25"/>
    </row>
    <row r="37" spans="1:52" s="1" customFormat="1" ht="14.25">
      <c r="A37" s="29"/>
      <c r="AZ37" s="25"/>
    </row>
    <row r="38" spans="1:52" s="1" customFormat="1" ht="14.25">
      <c r="A38" s="29"/>
      <c r="N38" s="30" t="s">
        <v>11</v>
      </c>
      <c r="W38" s="1" t="s">
        <v>12</v>
      </c>
      <c r="Z38" s="1" t="s">
        <v>13</v>
      </c>
      <c r="AE38" s="1" t="s">
        <v>12</v>
      </c>
      <c r="AU38" s="31"/>
      <c r="AV38" s="31"/>
      <c r="AW38" s="31"/>
      <c r="AX38" s="31"/>
      <c r="AY38" s="31"/>
      <c r="AZ38" s="25"/>
    </row>
    <row r="39" spans="1:52" s="1" customFormat="1" ht="14.25">
      <c r="A39" s="29"/>
      <c r="AZ39" s="25"/>
    </row>
    <row r="40" spans="1:52" s="1" customFormat="1" ht="14.25">
      <c r="A40" s="29"/>
      <c r="AZ40" s="25"/>
    </row>
    <row r="41" spans="1:52" s="1" customFormat="1" ht="14.25">
      <c r="A41" s="32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4"/>
    </row>
  </sheetData>
  <mergeCells count="16">
    <mergeCell ref="A3:Z4"/>
    <mergeCell ref="A7:F7"/>
    <mergeCell ref="A8:F8"/>
    <mergeCell ref="AR3:AZ3"/>
    <mergeCell ref="U8:AH8"/>
    <mergeCell ref="G8:N8"/>
    <mergeCell ref="G7:AZ7"/>
    <mergeCell ref="A5:F5"/>
    <mergeCell ref="G5:N5"/>
    <mergeCell ref="O5:T5"/>
    <mergeCell ref="U5:AH5"/>
    <mergeCell ref="O8:T8"/>
    <mergeCell ref="A6:F6"/>
    <mergeCell ref="G6:N6"/>
    <mergeCell ref="O6:T6"/>
    <mergeCell ref="U6:AH6"/>
  </mergeCells>
  <phoneticPr fontId="6"/>
  <pageMargins left="0.7" right="0.7" top="0.75" bottom="0.75" header="0.3" footer="0.3"/>
  <pageSetup paperSize="9" scale="63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DCFF8-AFBC-4DEA-A701-250760F8DC50}">
  <sheetPr>
    <pageSetUpPr fitToPage="1"/>
  </sheetPr>
  <dimension ref="A1:BL40"/>
  <sheetViews>
    <sheetView view="pageBreakPreview" zoomScale="110" zoomScaleNormal="100" zoomScaleSheetLayoutView="110" workbookViewId="0">
      <selection activeCell="Z1" sqref="Z1"/>
    </sheetView>
  </sheetViews>
  <sheetFormatPr defaultColWidth="1.875" defaultRowHeight="13.5" customHeight="1"/>
  <cols>
    <col min="1" max="63" width="1.875" style="69" customWidth="1"/>
    <col min="64" max="64" width="1.75" style="69" customWidth="1"/>
    <col min="65" max="319" width="1.875" style="69"/>
    <col min="320" max="320" width="1.75" style="69" customWidth="1"/>
    <col min="321" max="575" width="1.875" style="69"/>
    <col min="576" max="576" width="1.75" style="69" customWidth="1"/>
    <col min="577" max="831" width="1.875" style="69"/>
    <col min="832" max="832" width="1.75" style="69" customWidth="1"/>
    <col min="833" max="1087" width="1.875" style="69"/>
    <col min="1088" max="1088" width="1.75" style="69" customWidth="1"/>
    <col min="1089" max="1343" width="1.875" style="69"/>
    <col min="1344" max="1344" width="1.75" style="69" customWidth="1"/>
    <col min="1345" max="1599" width="1.875" style="69"/>
    <col min="1600" max="1600" width="1.75" style="69" customWidth="1"/>
    <col min="1601" max="1855" width="1.875" style="69"/>
    <col min="1856" max="1856" width="1.75" style="69" customWidth="1"/>
    <col min="1857" max="2111" width="1.875" style="69"/>
    <col min="2112" max="2112" width="1.75" style="69" customWidth="1"/>
    <col min="2113" max="2367" width="1.875" style="69"/>
    <col min="2368" max="2368" width="1.75" style="69" customWidth="1"/>
    <col min="2369" max="2623" width="1.875" style="69"/>
    <col min="2624" max="2624" width="1.75" style="69" customWidth="1"/>
    <col min="2625" max="2879" width="1.875" style="69"/>
    <col min="2880" max="2880" width="1.75" style="69" customWidth="1"/>
    <col min="2881" max="3135" width="1.875" style="69"/>
    <col min="3136" max="3136" width="1.75" style="69" customWidth="1"/>
    <col min="3137" max="3391" width="1.875" style="69"/>
    <col min="3392" max="3392" width="1.75" style="69" customWidth="1"/>
    <col min="3393" max="3647" width="1.875" style="69"/>
    <col min="3648" max="3648" width="1.75" style="69" customWidth="1"/>
    <col min="3649" max="3903" width="1.875" style="69"/>
    <col min="3904" max="3904" width="1.75" style="69" customWidth="1"/>
    <col min="3905" max="4159" width="1.875" style="69"/>
    <col min="4160" max="4160" width="1.75" style="69" customWidth="1"/>
    <col min="4161" max="4415" width="1.875" style="69"/>
    <col min="4416" max="4416" width="1.75" style="69" customWidth="1"/>
    <col min="4417" max="4671" width="1.875" style="69"/>
    <col min="4672" max="4672" width="1.75" style="69" customWidth="1"/>
    <col min="4673" max="4927" width="1.875" style="69"/>
    <col min="4928" max="4928" width="1.75" style="69" customWidth="1"/>
    <col min="4929" max="5183" width="1.875" style="69"/>
    <col min="5184" max="5184" width="1.75" style="69" customWidth="1"/>
    <col min="5185" max="5439" width="1.875" style="69"/>
    <col min="5440" max="5440" width="1.75" style="69" customWidth="1"/>
    <col min="5441" max="5695" width="1.875" style="69"/>
    <col min="5696" max="5696" width="1.75" style="69" customWidth="1"/>
    <col min="5697" max="5951" width="1.875" style="69"/>
    <col min="5952" max="5952" width="1.75" style="69" customWidth="1"/>
    <col min="5953" max="6207" width="1.875" style="69"/>
    <col min="6208" max="6208" width="1.75" style="69" customWidth="1"/>
    <col min="6209" max="6463" width="1.875" style="69"/>
    <col min="6464" max="6464" width="1.75" style="69" customWidth="1"/>
    <col min="6465" max="6719" width="1.875" style="69"/>
    <col min="6720" max="6720" width="1.75" style="69" customWidth="1"/>
    <col min="6721" max="6975" width="1.875" style="69"/>
    <col min="6976" max="6976" width="1.75" style="69" customWidth="1"/>
    <col min="6977" max="7231" width="1.875" style="69"/>
    <col min="7232" max="7232" width="1.75" style="69" customWidth="1"/>
    <col min="7233" max="7487" width="1.875" style="69"/>
    <col min="7488" max="7488" width="1.75" style="69" customWidth="1"/>
    <col min="7489" max="7743" width="1.875" style="69"/>
    <col min="7744" max="7744" width="1.75" style="69" customWidth="1"/>
    <col min="7745" max="7999" width="1.875" style="69"/>
    <col min="8000" max="8000" width="1.75" style="69" customWidth="1"/>
    <col min="8001" max="8255" width="1.875" style="69"/>
    <col min="8256" max="8256" width="1.75" style="69" customWidth="1"/>
    <col min="8257" max="8511" width="1.875" style="69"/>
    <col min="8512" max="8512" width="1.75" style="69" customWidth="1"/>
    <col min="8513" max="8767" width="1.875" style="69"/>
    <col min="8768" max="8768" width="1.75" style="69" customWidth="1"/>
    <col min="8769" max="9023" width="1.875" style="69"/>
    <col min="9024" max="9024" width="1.75" style="69" customWidth="1"/>
    <col min="9025" max="9279" width="1.875" style="69"/>
    <col min="9280" max="9280" width="1.75" style="69" customWidth="1"/>
    <col min="9281" max="9535" width="1.875" style="69"/>
    <col min="9536" max="9536" width="1.75" style="69" customWidth="1"/>
    <col min="9537" max="9791" width="1.875" style="69"/>
    <col min="9792" max="9792" width="1.75" style="69" customWidth="1"/>
    <col min="9793" max="10047" width="1.875" style="69"/>
    <col min="10048" max="10048" width="1.75" style="69" customWidth="1"/>
    <col min="10049" max="10303" width="1.875" style="69"/>
    <col min="10304" max="10304" width="1.75" style="69" customWidth="1"/>
    <col min="10305" max="10559" width="1.875" style="69"/>
    <col min="10560" max="10560" width="1.75" style="69" customWidth="1"/>
    <col min="10561" max="10815" width="1.875" style="69"/>
    <col min="10816" max="10816" width="1.75" style="69" customWidth="1"/>
    <col min="10817" max="11071" width="1.875" style="69"/>
    <col min="11072" max="11072" width="1.75" style="69" customWidth="1"/>
    <col min="11073" max="11327" width="1.875" style="69"/>
    <col min="11328" max="11328" width="1.75" style="69" customWidth="1"/>
    <col min="11329" max="11583" width="1.875" style="69"/>
    <col min="11584" max="11584" width="1.75" style="69" customWidth="1"/>
    <col min="11585" max="11839" width="1.875" style="69"/>
    <col min="11840" max="11840" width="1.75" style="69" customWidth="1"/>
    <col min="11841" max="12095" width="1.875" style="69"/>
    <col min="12096" max="12096" width="1.75" style="69" customWidth="1"/>
    <col min="12097" max="12351" width="1.875" style="69"/>
    <col min="12352" max="12352" width="1.75" style="69" customWidth="1"/>
    <col min="12353" max="12607" width="1.875" style="69"/>
    <col min="12608" max="12608" width="1.75" style="69" customWidth="1"/>
    <col min="12609" max="12863" width="1.875" style="69"/>
    <col min="12864" max="12864" width="1.75" style="69" customWidth="1"/>
    <col min="12865" max="13119" width="1.875" style="69"/>
    <col min="13120" max="13120" width="1.75" style="69" customWidth="1"/>
    <col min="13121" max="13375" width="1.875" style="69"/>
    <col min="13376" max="13376" width="1.75" style="69" customWidth="1"/>
    <col min="13377" max="13631" width="1.875" style="69"/>
    <col min="13632" max="13632" width="1.75" style="69" customWidth="1"/>
    <col min="13633" max="13887" width="1.875" style="69"/>
    <col min="13888" max="13888" width="1.75" style="69" customWidth="1"/>
    <col min="13889" max="14143" width="1.875" style="69"/>
    <col min="14144" max="14144" width="1.75" style="69" customWidth="1"/>
    <col min="14145" max="14399" width="1.875" style="69"/>
    <col min="14400" max="14400" width="1.75" style="69" customWidth="1"/>
    <col min="14401" max="14655" width="1.875" style="69"/>
    <col min="14656" max="14656" width="1.75" style="69" customWidth="1"/>
    <col min="14657" max="14911" width="1.875" style="69"/>
    <col min="14912" max="14912" width="1.75" style="69" customWidth="1"/>
    <col min="14913" max="15167" width="1.875" style="69"/>
    <col min="15168" max="15168" width="1.75" style="69" customWidth="1"/>
    <col min="15169" max="15423" width="1.875" style="69"/>
    <col min="15424" max="15424" width="1.75" style="69" customWidth="1"/>
    <col min="15425" max="15679" width="1.875" style="69"/>
    <col min="15680" max="15680" width="1.75" style="69" customWidth="1"/>
    <col min="15681" max="15935" width="1.875" style="69"/>
    <col min="15936" max="15936" width="1.75" style="69" customWidth="1"/>
    <col min="15937" max="16191" width="1.875" style="69"/>
    <col min="16192" max="16192" width="1.75" style="69" customWidth="1"/>
    <col min="16193" max="16384" width="1.875" style="69"/>
  </cols>
  <sheetData>
    <row r="1" spans="1:64" ht="13.5" customHeight="1">
      <c r="Z1" s="70" t="str">
        <f>更新履歴!K2</f>
        <v>2026.12.21</v>
      </c>
    </row>
    <row r="2" spans="1:64" ht="13.5" customHeight="1" thickBot="1"/>
    <row r="3" spans="1:64" ht="13.5" customHeight="1">
      <c r="A3" s="212" t="s">
        <v>93</v>
      </c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212"/>
      <c r="M3" s="212"/>
      <c r="N3" s="212"/>
      <c r="O3" s="212"/>
      <c r="P3" s="212"/>
      <c r="Q3" s="212"/>
      <c r="R3" s="212"/>
      <c r="S3" s="212"/>
      <c r="T3" s="212"/>
      <c r="U3" s="212"/>
      <c r="V3" s="212"/>
      <c r="W3" s="212"/>
      <c r="X3" s="212"/>
      <c r="Y3" s="212"/>
      <c r="Z3" s="212"/>
      <c r="AO3" s="256" t="s">
        <v>7</v>
      </c>
      <c r="AP3" s="257"/>
      <c r="AQ3" s="257"/>
      <c r="AR3" s="257"/>
      <c r="AS3" s="257"/>
      <c r="AT3" s="257"/>
      <c r="AU3" s="258" t="str">
        <f>更新履歴!K1</f>
        <v>CNレポート作成アプリ「LecMoc」</v>
      </c>
      <c r="AV3" s="259"/>
      <c r="AW3" s="259"/>
      <c r="AX3" s="259"/>
      <c r="AY3" s="259"/>
      <c r="AZ3" s="259"/>
      <c r="BA3" s="259"/>
      <c r="BB3" s="259"/>
      <c r="BC3" s="259"/>
      <c r="BD3" s="259"/>
      <c r="BE3" s="259"/>
      <c r="BF3" s="259"/>
      <c r="BG3" s="259"/>
      <c r="BH3" s="259"/>
      <c r="BI3" s="259"/>
      <c r="BJ3" s="259"/>
      <c r="BK3" s="259"/>
      <c r="BL3" s="260"/>
    </row>
    <row r="4" spans="1:64" ht="13.5" customHeight="1" thickBot="1">
      <c r="A4" s="213"/>
      <c r="B4" s="213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  <c r="W4" s="213"/>
      <c r="X4" s="213"/>
      <c r="Y4" s="213"/>
      <c r="Z4" s="213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261" t="s">
        <v>94</v>
      </c>
      <c r="AP4" s="262"/>
      <c r="AQ4" s="262"/>
      <c r="AR4" s="262"/>
      <c r="AS4" s="262"/>
      <c r="AT4" s="262"/>
      <c r="AU4" s="263" t="s">
        <v>116</v>
      </c>
      <c r="AV4" s="264"/>
      <c r="AW4" s="264"/>
      <c r="AX4" s="264"/>
      <c r="AY4" s="264"/>
      <c r="AZ4" s="264"/>
      <c r="BA4" s="264"/>
      <c r="BB4" s="264"/>
      <c r="BC4" s="264"/>
      <c r="BD4" s="264"/>
      <c r="BE4" s="264"/>
      <c r="BF4" s="264"/>
      <c r="BG4" s="264"/>
      <c r="BH4" s="264"/>
      <c r="BI4" s="264"/>
      <c r="BJ4" s="264"/>
      <c r="BK4" s="264"/>
      <c r="BL4" s="265"/>
    </row>
    <row r="5" spans="1:64" ht="13.5" customHeight="1" thickTop="1">
      <c r="A5" s="266" t="s">
        <v>95</v>
      </c>
      <c r="B5" s="267"/>
      <c r="C5" s="267"/>
      <c r="D5" s="267"/>
      <c r="E5" s="267"/>
      <c r="F5" s="267"/>
      <c r="G5" s="267"/>
      <c r="H5" s="267"/>
      <c r="I5" s="267"/>
      <c r="J5" s="267"/>
      <c r="K5" s="267"/>
      <c r="L5" s="267"/>
      <c r="M5" s="267"/>
      <c r="N5" s="267"/>
      <c r="O5" s="267"/>
      <c r="P5" s="267"/>
      <c r="Q5" s="267"/>
      <c r="R5" s="267"/>
      <c r="S5" s="267"/>
      <c r="T5" s="267"/>
      <c r="U5" s="267"/>
      <c r="V5" s="267"/>
      <c r="W5" s="267"/>
      <c r="X5" s="267"/>
      <c r="Y5" s="268"/>
      <c r="Z5" s="269" t="s">
        <v>15</v>
      </c>
      <c r="AA5" s="267"/>
      <c r="AB5" s="267"/>
      <c r="AC5" s="267"/>
      <c r="AD5" s="267"/>
      <c r="AE5" s="267"/>
      <c r="AF5" s="267"/>
      <c r="AG5" s="267"/>
      <c r="AH5" s="267"/>
      <c r="AI5" s="267"/>
      <c r="AJ5" s="267"/>
      <c r="AK5" s="267"/>
      <c r="AL5" s="267"/>
      <c r="AM5" s="267"/>
      <c r="AN5" s="267"/>
      <c r="AO5" s="267"/>
      <c r="AP5" s="267"/>
      <c r="AQ5" s="267"/>
      <c r="AR5" s="267"/>
      <c r="AS5" s="267"/>
      <c r="AT5" s="267"/>
      <c r="AU5" s="267"/>
      <c r="AV5" s="267"/>
      <c r="AW5" s="267"/>
      <c r="AX5" s="267"/>
      <c r="AY5" s="267"/>
      <c r="AZ5" s="267"/>
      <c r="BA5" s="267"/>
      <c r="BB5" s="267"/>
      <c r="BC5" s="267"/>
      <c r="BD5" s="267"/>
      <c r="BE5" s="267"/>
      <c r="BF5" s="267"/>
      <c r="BG5" s="267"/>
      <c r="BH5" s="267"/>
      <c r="BI5" s="267"/>
      <c r="BJ5" s="267"/>
      <c r="BK5" s="267"/>
      <c r="BL5" s="270"/>
    </row>
    <row r="6" spans="1:64" ht="13.5" customHeight="1">
      <c r="A6" s="72"/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4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  <c r="BG6" s="73"/>
      <c r="BH6" s="73"/>
      <c r="BI6" s="73"/>
      <c r="BJ6" s="73"/>
      <c r="BK6" s="73"/>
      <c r="BL6" s="75"/>
    </row>
    <row r="7" spans="1:64" ht="13.5" customHeight="1">
      <c r="A7" s="76"/>
      <c r="B7" s="73" t="s">
        <v>150</v>
      </c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4"/>
      <c r="AA7" s="73" t="s">
        <v>145</v>
      </c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3"/>
      <c r="BF7" s="73"/>
      <c r="BG7" s="73"/>
      <c r="BH7" s="73"/>
      <c r="BI7" s="73"/>
      <c r="BJ7" s="73"/>
      <c r="BK7" s="73"/>
      <c r="BL7" s="75"/>
    </row>
    <row r="8" spans="1:64" ht="13.5" customHeight="1">
      <c r="A8" s="76"/>
      <c r="B8" s="73" t="s">
        <v>146</v>
      </c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4"/>
      <c r="AA8" s="73" t="s">
        <v>157</v>
      </c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3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3"/>
      <c r="BF8" s="73"/>
      <c r="BG8" s="73"/>
      <c r="BH8" s="73"/>
      <c r="BI8" s="73"/>
      <c r="BJ8" s="73"/>
      <c r="BK8" s="73"/>
      <c r="BL8" s="75"/>
    </row>
    <row r="9" spans="1:64" ht="13.5" customHeight="1">
      <c r="A9" s="76"/>
      <c r="B9" s="73" t="s">
        <v>155</v>
      </c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4"/>
      <c r="AA9" s="73" t="s">
        <v>158</v>
      </c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3"/>
      <c r="BF9" s="73"/>
      <c r="BG9" s="73"/>
      <c r="BH9" s="73"/>
      <c r="BI9" s="73"/>
      <c r="BJ9" s="73"/>
      <c r="BK9" s="73"/>
      <c r="BL9" s="75"/>
    </row>
    <row r="10" spans="1:64" ht="13.5" customHeight="1">
      <c r="A10" s="76"/>
      <c r="B10" s="73" t="s">
        <v>146</v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4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73"/>
      <c r="BL10" s="75"/>
    </row>
    <row r="11" spans="1:64" ht="13.5" customHeight="1">
      <c r="A11" s="76"/>
      <c r="B11" s="73" t="s">
        <v>151</v>
      </c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4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3"/>
      <c r="BF11" s="73"/>
      <c r="BG11" s="73"/>
      <c r="BH11" s="73"/>
      <c r="BI11" s="73"/>
      <c r="BJ11" s="73"/>
      <c r="BK11" s="73"/>
      <c r="BL11" s="75"/>
    </row>
    <row r="12" spans="1:64" ht="13.5" customHeight="1">
      <c r="A12" s="76"/>
      <c r="B12" s="73" t="s">
        <v>146</v>
      </c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4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3"/>
      <c r="AQ12" s="73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3"/>
      <c r="BF12" s="73"/>
      <c r="BG12" s="73"/>
      <c r="BH12" s="73"/>
      <c r="BI12" s="73"/>
      <c r="BJ12" s="73"/>
      <c r="BK12" s="73"/>
      <c r="BL12" s="75"/>
    </row>
    <row r="13" spans="1:64" ht="13.5" customHeight="1">
      <c r="A13" s="76"/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4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3"/>
      <c r="BF13" s="73"/>
      <c r="BG13" s="73"/>
      <c r="BH13" s="73"/>
      <c r="BI13" s="73"/>
      <c r="BJ13" s="73"/>
      <c r="BK13" s="73"/>
      <c r="BL13" s="75"/>
    </row>
    <row r="14" spans="1:64" ht="13.5" customHeight="1">
      <c r="A14" s="76"/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4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3"/>
      <c r="AQ14" s="73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3"/>
      <c r="BF14" s="73"/>
      <c r="BG14" s="73"/>
      <c r="BH14" s="73"/>
      <c r="BI14" s="73"/>
      <c r="BJ14" s="73"/>
      <c r="BK14" s="73"/>
      <c r="BL14" s="75"/>
    </row>
    <row r="15" spans="1:64" ht="13.5" customHeight="1">
      <c r="A15" s="76"/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4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3"/>
      <c r="AQ15" s="73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3"/>
      <c r="BF15" s="73"/>
      <c r="BG15" s="73"/>
      <c r="BH15" s="73"/>
      <c r="BI15" s="73"/>
      <c r="BJ15" s="73"/>
      <c r="BK15" s="73"/>
      <c r="BL15" s="75"/>
    </row>
    <row r="16" spans="1:64" ht="13.5" customHeight="1">
      <c r="A16" s="76"/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4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3"/>
      <c r="AQ16" s="73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3"/>
      <c r="BF16" s="73"/>
      <c r="BG16" s="73"/>
      <c r="BH16" s="73"/>
      <c r="BI16" s="73"/>
      <c r="BJ16" s="73"/>
      <c r="BK16" s="73"/>
      <c r="BL16" s="75"/>
    </row>
    <row r="17" spans="1:64" ht="13.5" customHeight="1">
      <c r="A17" s="76"/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4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3"/>
      <c r="BG17" s="73"/>
      <c r="BH17" s="73"/>
      <c r="BI17" s="73"/>
      <c r="BJ17" s="73"/>
      <c r="BK17" s="73"/>
      <c r="BL17" s="75"/>
    </row>
    <row r="18" spans="1:64" ht="13.5" customHeight="1">
      <c r="A18" s="76"/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4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3"/>
      <c r="AQ18" s="73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3"/>
      <c r="BF18" s="73"/>
      <c r="BG18" s="73"/>
      <c r="BH18" s="73"/>
      <c r="BI18" s="73"/>
      <c r="BJ18" s="73"/>
      <c r="BK18" s="73"/>
      <c r="BL18" s="75"/>
    </row>
    <row r="19" spans="1:64" ht="13.5" customHeight="1">
      <c r="A19" s="76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4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3"/>
      <c r="AQ19" s="73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3"/>
      <c r="BF19" s="73"/>
      <c r="BG19" s="73"/>
      <c r="BH19" s="73"/>
      <c r="BI19" s="73"/>
      <c r="BJ19" s="73"/>
      <c r="BK19" s="73"/>
      <c r="BL19" s="75"/>
    </row>
    <row r="20" spans="1:64" ht="13.5" customHeight="1">
      <c r="A20" s="76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4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3"/>
      <c r="BF20" s="73"/>
      <c r="BG20" s="73"/>
      <c r="BH20" s="73"/>
      <c r="BI20" s="73"/>
      <c r="BJ20" s="73"/>
      <c r="BK20" s="73"/>
      <c r="BL20" s="75"/>
    </row>
    <row r="21" spans="1:64" ht="13.5" customHeight="1">
      <c r="A21" s="76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4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3"/>
      <c r="BF21" s="73"/>
      <c r="BG21" s="73"/>
      <c r="BH21" s="73"/>
      <c r="BI21" s="73"/>
      <c r="BJ21" s="73"/>
      <c r="BK21" s="73"/>
      <c r="BL21" s="75"/>
    </row>
    <row r="22" spans="1:64" ht="13.5" customHeight="1">
      <c r="A22" s="77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9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8"/>
      <c r="AQ22" s="78"/>
      <c r="AR22" s="78"/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78"/>
      <c r="BF22" s="78"/>
      <c r="BG22" s="78"/>
      <c r="BH22" s="78"/>
      <c r="BI22" s="78"/>
      <c r="BJ22" s="78"/>
      <c r="BK22" s="78"/>
      <c r="BL22" s="80"/>
    </row>
    <row r="23" spans="1:64" ht="13.5" customHeight="1">
      <c r="A23" s="271" t="s">
        <v>96</v>
      </c>
      <c r="B23" s="272"/>
      <c r="C23" s="272"/>
      <c r="D23" s="272"/>
      <c r="E23" s="272"/>
      <c r="F23" s="272"/>
      <c r="G23" s="272"/>
      <c r="H23" s="272"/>
      <c r="I23" s="272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3"/>
      <c r="U23" s="274" t="s">
        <v>97</v>
      </c>
      <c r="V23" s="272"/>
      <c r="W23" s="272"/>
      <c r="X23" s="272"/>
      <c r="Y23" s="272"/>
      <c r="Z23" s="272"/>
      <c r="AA23" s="272"/>
      <c r="AB23" s="272"/>
      <c r="AC23" s="272"/>
      <c r="AD23" s="272"/>
      <c r="AE23" s="272"/>
      <c r="AF23" s="272"/>
      <c r="AG23" s="272"/>
      <c r="AH23" s="272"/>
      <c r="AI23" s="272"/>
      <c r="AJ23" s="272"/>
      <c r="AK23" s="272"/>
      <c r="AL23" s="273"/>
      <c r="AM23" s="274" t="s">
        <v>98</v>
      </c>
      <c r="AN23" s="272"/>
      <c r="AO23" s="272"/>
      <c r="AP23" s="272"/>
      <c r="AQ23" s="272"/>
      <c r="AR23" s="272"/>
      <c r="AS23" s="272"/>
      <c r="AT23" s="272"/>
      <c r="AU23" s="272"/>
      <c r="AV23" s="272"/>
      <c r="AW23" s="272"/>
      <c r="AX23" s="272"/>
      <c r="AY23" s="272"/>
      <c r="AZ23" s="272"/>
      <c r="BA23" s="272"/>
      <c r="BB23" s="272"/>
      <c r="BC23" s="272"/>
      <c r="BD23" s="272"/>
      <c r="BE23" s="272"/>
      <c r="BF23" s="272"/>
      <c r="BG23" s="272"/>
      <c r="BH23" s="272"/>
      <c r="BI23" s="272"/>
      <c r="BJ23" s="272"/>
      <c r="BK23" s="272"/>
      <c r="BL23" s="275"/>
    </row>
    <row r="24" spans="1:64" ht="15" customHeight="1">
      <c r="A24" s="72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4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4"/>
      <c r="AN24" s="73"/>
      <c r="AO24" s="73"/>
      <c r="AP24" s="73"/>
      <c r="AQ24" s="73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3"/>
      <c r="BF24" s="73"/>
      <c r="BG24" s="73"/>
      <c r="BH24" s="73"/>
      <c r="BI24" s="73"/>
      <c r="BJ24" s="73"/>
      <c r="BK24" s="73"/>
      <c r="BL24" s="75"/>
    </row>
    <row r="25" spans="1:64" ht="14.25" customHeight="1">
      <c r="A25" s="76"/>
      <c r="B25" s="73" t="s">
        <v>144</v>
      </c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4"/>
      <c r="V25" s="73" t="s">
        <v>153</v>
      </c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4"/>
      <c r="AN25" s="73" t="s">
        <v>159</v>
      </c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3"/>
      <c r="BF25" s="73"/>
      <c r="BG25" s="73"/>
      <c r="BH25" s="73"/>
      <c r="BI25" s="73"/>
      <c r="BJ25" s="73"/>
      <c r="BK25" s="73"/>
      <c r="BL25" s="75"/>
    </row>
    <row r="26" spans="1:64" ht="13.5" customHeight="1">
      <c r="A26" s="76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4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4"/>
      <c r="AN26" s="73" t="s">
        <v>160</v>
      </c>
      <c r="AO26" s="73"/>
      <c r="AP26" s="73"/>
      <c r="AQ26" s="73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3"/>
      <c r="BF26" s="73"/>
      <c r="BG26" s="73"/>
      <c r="BH26" s="73"/>
      <c r="BI26" s="73"/>
      <c r="BJ26" s="73"/>
      <c r="BK26" s="73"/>
      <c r="BL26" s="75"/>
    </row>
    <row r="27" spans="1:64" ht="13.5" customHeight="1">
      <c r="A27" s="76"/>
      <c r="B27" s="73" t="s">
        <v>169</v>
      </c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4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4"/>
      <c r="AN27" s="73" t="s">
        <v>161</v>
      </c>
      <c r="AO27" s="73"/>
      <c r="AP27" s="73"/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3"/>
      <c r="BF27" s="73"/>
      <c r="BG27" s="73"/>
      <c r="BH27" s="73"/>
      <c r="BI27" s="73"/>
      <c r="BJ27" s="73"/>
      <c r="BK27" s="73"/>
      <c r="BL27" s="75"/>
    </row>
    <row r="28" spans="1:64" ht="13.5" customHeight="1">
      <c r="A28" s="81"/>
      <c r="B28" s="69" t="s">
        <v>170</v>
      </c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4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4"/>
      <c r="AN28" s="73"/>
      <c r="AO28" s="73" t="s">
        <v>162</v>
      </c>
      <c r="AP28" s="73"/>
      <c r="AQ28" s="73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3"/>
      <c r="BF28" s="73"/>
      <c r="BG28" s="73"/>
      <c r="BH28" s="73"/>
      <c r="BI28" s="73"/>
      <c r="BJ28" s="73"/>
      <c r="BK28" s="73"/>
      <c r="BL28" s="75"/>
    </row>
    <row r="29" spans="1:64" ht="13.5" customHeight="1">
      <c r="A29" s="81"/>
      <c r="B29" s="69" t="s">
        <v>168</v>
      </c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4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4"/>
      <c r="AN29" s="73"/>
      <c r="AO29" s="73"/>
      <c r="AP29" s="73"/>
      <c r="AQ29" s="73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73"/>
      <c r="BF29" s="73"/>
      <c r="BG29" s="73"/>
      <c r="BH29" s="73"/>
      <c r="BI29" s="73"/>
      <c r="BJ29" s="73"/>
      <c r="BK29" s="73"/>
      <c r="BL29" s="75"/>
    </row>
    <row r="30" spans="1:64" ht="13.5" customHeight="1">
      <c r="A30" s="81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4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4"/>
      <c r="AN30" s="73" t="s">
        <v>163</v>
      </c>
      <c r="AO30" s="73"/>
      <c r="AP30" s="73"/>
      <c r="AQ30" s="73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3"/>
      <c r="BF30" s="73"/>
      <c r="BG30" s="73"/>
      <c r="BH30" s="73"/>
      <c r="BI30" s="73"/>
      <c r="BJ30" s="73"/>
      <c r="BK30" s="73"/>
      <c r="BL30" s="75"/>
    </row>
    <row r="31" spans="1:64" ht="13.5" customHeight="1">
      <c r="A31" s="81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4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4"/>
      <c r="AN31" s="73" t="s">
        <v>164</v>
      </c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3"/>
      <c r="BG31" s="73"/>
      <c r="BH31" s="73"/>
      <c r="BI31" s="73"/>
      <c r="BJ31" s="73"/>
      <c r="BK31" s="73"/>
      <c r="BL31" s="75"/>
    </row>
    <row r="32" spans="1:64" ht="13.5" customHeight="1">
      <c r="A32" s="81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4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4"/>
      <c r="AN32" s="73" t="s">
        <v>165</v>
      </c>
      <c r="AO32" s="73"/>
      <c r="AP32" s="73"/>
      <c r="AQ32" s="73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3"/>
      <c r="BF32" s="73"/>
      <c r="BG32" s="73"/>
      <c r="BH32" s="73"/>
      <c r="BI32" s="73"/>
      <c r="BJ32" s="73"/>
      <c r="BK32" s="73"/>
      <c r="BL32" s="75"/>
    </row>
    <row r="33" spans="1:64" ht="13.5" customHeight="1">
      <c r="A33" s="81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4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4"/>
      <c r="AN33" s="73" t="s">
        <v>166</v>
      </c>
      <c r="AO33" s="73"/>
      <c r="AP33" s="73"/>
      <c r="AQ33" s="73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3"/>
      <c r="BF33" s="73"/>
      <c r="BG33" s="73"/>
      <c r="BH33" s="73"/>
      <c r="BI33" s="73"/>
      <c r="BJ33" s="73"/>
      <c r="BK33" s="73"/>
      <c r="BL33" s="75"/>
    </row>
    <row r="34" spans="1:64" ht="13.5" customHeight="1">
      <c r="A34" s="81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4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4"/>
      <c r="AN34" s="73" t="s">
        <v>167</v>
      </c>
      <c r="AO34" s="73"/>
      <c r="AP34" s="73"/>
      <c r="AQ34" s="73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3"/>
      <c r="BF34" s="73"/>
      <c r="BG34" s="73"/>
      <c r="BH34" s="73"/>
      <c r="BI34" s="73"/>
      <c r="BJ34" s="73"/>
      <c r="BK34" s="73"/>
      <c r="BL34" s="75"/>
    </row>
    <row r="35" spans="1:64" ht="13.5" customHeight="1">
      <c r="A35" s="81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4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4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3"/>
      <c r="BK35" s="73"/>
      <c r="BL35" s="75"/>
    </row>
    <row r="36" spans="1:64" ht="13.5" customHeight="1">
      <c r="A36" s="81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4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4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3"/>
      <c r="BB36" s="73"/>
      <c r="BC36" s="73"/>
      <c r="BD36" s="73"/>
      <c r="BE36" s="73"/>
      <c r="BF36" s="73"/>
      <c r="BG36" s="73"/>
      <c r="BH36" s="73"/>
      <c r="BI36" s="73"/>
      <c r="BJ36" s="73"/>
      <c r="BK36" s="73"/>
      <c r="BL36" s="75"/>
    </row>
    <row r="37" spans="1:64" ht="13.5" customHeight="1">
      <c r="A37" s="81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4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  <c r="AM37" s="74"/>
      <c r="AN37" s="73"/>
      <c r="AO37" s="73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73"/>
      <c r="BB37" s="73"/>
      <c r="BC37" s="73"/>
      <c r="BD37" s="73"/>
      <c r="BE37" s="73"/>
      <c r="BF37" s="73"/>
      <c r="BG37" s="73"/>
      <c r="BH37" s="73"/>
      <c r="BI37" s="73"/>
      <c r="BJ37" s="73"/>
      <c r="BK37" s="73"/>
      <c r="BL37" s="75"/>
    </row>
    <row r="38" spans="1:64" ht="13.5" customHeight="1">
      <c r="A38" s="81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4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  <c r="AL38" s="73"/>
      <c r="AM38" s="74"/>
      <c r="AN38" s="73"/>
      <c r="AO38" s="73"/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73"/>
      <c r="BB38" s="73"/>
      <c r="BC38" s="73"/>
      <c r="BD38" s="73"/>
      <c r="BE38" s="73"/>
      <c r="BF38" s="73"/>
      <c r="BG38" s="73"/>
      <c r="BH38" s="73"/>
      <c r="BI38" s="73"/>
      <c r="BJ38" s="73"/>
      <c r="BK38" s="73"/>
      <c r="BL38" s="75"/>
    </row>
    <row r="39" spans="1:64" ht="13.5" customHeight="1">
      <c r="A39" s="81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4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  <c r="AL39" s="73"/>
      <c r="AM39" s="74"/>
      <c r="AN39" s="73"/>
      <c r="AO39" s="73"/>
      <c r="AP39" s="73"/>
      <c r="AQ39" s="73"/>
      <c r="AR39" s="73"/>
      <c r="AS39" s="73"/>
      <c r="AT39" s="73"/>
      <c r="AU39" s="73"/>
      <c r="AV39" s="73"/>
      <c r="AW39" s="73"/>
      <c r="AX39" s="73"/>
      <c r="AY39" s="73"/>
      <c r="AZ39" s="73"/>
      <c r="BA39" s="73"/>
      <c r="BB39" s="73"/>
      <c r="BC39" s="73"/>
      <c r="BD39" s="73"/>
      <c r="BE39" s="73"/>
      <c r="BF39" s="73"/>
      <c r="BG39" s="73"/>
      <c r="BH39" s="73"/>
      <c r="BI39" s="73"/>
      <c r="BJ39" s="73"/>
      <c r="BK39" s="73"/>
      <c r="BL39" s="75"/>
    </row>
    <row r="40" spans="1:64" ht="13.5" customHeight="1" thickBot="1">
      <c r="A40" s="82"/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4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4"/>
      <c r="AN40" s="83"/>
      <c r="AO40" s="83"/>
      <c r="AP40" s="83"/>
      <c r="AQ40" s="83"/>
      <c r="AR40" s="83"/>
      <c r="AS40" s="83"/>
      <c r="AT40" s="83"/>
      <c r="AU40" s="83"/>
      <c r="AV40" s="83"/>
      <c r="AW40" s="83"/>
      <c r="AX40" s="83"/>
      <c r="AY40" s="83"/>
      <c r="AZ40" s="83"/>
      <c r="BA40" s="83"/>
      <c r="BB40" s="83"/>
      <c r="BC40" s="83"/>
      <c r="BD40" s="83"/>
      <c r="BE40" s="83"/>
      <c r="BF40" s="83"/>
      <c r="BG40" s="83"/>
      <c r="BH40" s="83"/>
      <c r="BI40" s="83"/>
      <c r="BJ40" s="83"/>
      <c r="BK40" s="83"/>
      <c r="BL40" s="85"/>
    </row>
  </sheetData>
  <mergeCells count="10">
    <mergeCell ref="A5:Y5"/>
    <mergeCell ref="Z5:BL5"/>
    <mergeCell ref="A23:T23"/>
    <mergeCell ref="U23:AL23"/>
    <mergeCell ref="AM23:BL23"/>
    <mergeCell ref="A3:Z4"/>
    <mergeCell ref="AO3:AT3"/>
    <mergeCell ref="AU3:BL3"/>
    <mergeCell ref="AO4:AT4"/>
    <mergeCell ref="AU4:BL4"/>
  </mergeCells>
  <phoneticPr fontId="6"/>
  <printOptions horizontalCentered="1"/>
  <pageMargins left="0.39370078740157483" right="0.39370078740157483" top="0.59055118110236227" bottom="0.62992125984251968" header="0.19685039370078741" footer="0.19685039370078741"/>
  <pageSetup paperSize="9" scale="73" fitToHeight="0" orientation="portrait" verticalDpi="300" r:id="rId1"/>
  <headerFooter alignWithMargins="0">
    <oddFooter>&amp;RPage &amp;P／Page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3CDE1-C0BA-465E-9D37-A916A6282966}">
  <sheetPr>
    <pageSetUpPr fitToPage="1"/>
  </sheetPr>
  <dimension ref="A1:BI73"/>
  <sheetViews>
    <sheetView showGridLines="0" tabSelected="1" topLeftCell="A22" zoomScale="80" zoomScaleNormal="80" workbookViewId="0">
      <selection activeCell="BF45" sqref="BF45"/>
    </sheetView>
  </sheetViews>
  <sheetFormatPr defaultColWidth="3.625" defaultRowHeight="18.75"/>
  <cols>
    <col min="7" max="7" width="6.75" customWidth="1"/>
  </cols>
  <sheetData>
    <row r="1" spans="1:61" ht="19.5" thickBot="1">
      <c r="R1" s="172" t="str">
        <f>更新履歴!K2</f>
        <v>2026.12.21</v>
      </c>
    </row>
    <row r="2" spans="1:61">
      <c r="A2" s="212" t="s">
        <v>113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212"/>
      <c r="Z2" s="212"/>
      <c r="AP2" s="282" t="s">
        <v>7</v>
      </c>
      <c r="AQ2" s="283"/>
      <c r="AR2" s="283"/>
      <c r="AS2" s="283"/>
      <c r="AT2" s="283"/>
      <c r="AU2" s="283"/>
      <c r="AV2" s="90" t="str">
        <f>更新履歴!K1</f>
        <v>CNレポート作成アプリ「LecMoc」</v>
      </c>
      <c r="AW2" s="91"/>
      <c r="AX2" s="91"/>
      <c r="AY2" s="91"/>
      <c r="AZ2" s="91"/>
      <c r="BA2" s="91"/>
      <c r="BB2" s="91"/>
      <c r="BC2" s="91"/>
      <c r="BD2" s="91"/>
      <c r="BE2" s="91"/>
      <c r="BF2" s="91"/>
      <c r="BG2" s="91"/>
      <c r="BH2" s="91"/>
      <c r="BI2" s="92"/>
    </row>
    <row r="3" spans="1:61" ht="19.5" thickBot="1">
      <c r="A3" s="213"/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3"/>
      <c r="W3" s="213"/>
      <c r="X3" s="213"/>
      <c r="Y3" s="213"/>
      <c r="Z3" s="213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280" t="s">
        <v>94</v>
      </c>
      <c r="AQ3" s="281"/>
      <c r="AR3" s="281"/>
      <c r="AS3" s="281"/>
      <c r="AT3" s="281"/>
      <c r="AU3" s="281"/>
      <c r="AV3" s="93" t="s">
        <v>114</v>
      </c>
      <c r="AW3" s="94"/>
      <c r="AX3" s="94"/>
      <c r="AY3" s="94"/>
      <c r="AZ3" s="94"/>
      <c r="BA3" s="94"/>
      <c r="BB3" s="94"/>
      <c r="BC3" s="94"/>
      <c r="BD3" s="94"/>
      <c r="BE3" s="94"/>
      <c r="BF3" s="94"/>
      <c r="BG3" s="94"/>
      <c r="BH3" s="94"/>
      <c r="BI3" s="95"/>
    </row>
    <row r="4" spans="1:61" s="1" customFormat="1" ht="14.25">
      <c r="A4" s="284" t="s">
        <v>14</v>
      </c>
      <c r="B4" s="285"/>
      <c r="C4" s="285"/>
      <c r="D4" s="285"/>
      <c r="E4" s="285"/>
      <c r="F4" s="285"/>
      <c r="G4" s="285"/>
      <c r="H4" s="285"/>
      <c r="I4" s="285"/>
      <c r="J4" s="285"/>
      <c r="K4" s="285"/>
      <c r="L4" s="285"/>
      <c r="M4" s="285"/>
      <c r="N4" s="285"/>
      <c r="O4" s="285"/>
      <c r="P4" s="285"/>
      <c r="Q4" s="285"/>
      <c r="R4" s="285"/>
      <c r="S4" s="285"/>
      <c r="T4" s="285"/>
      <c r="U4" s="285"/>
      <c r="V4" s="285"/>
      <c r="W4" s="285"/>
      <c r="X4" s="285"/>
      <c r="Y4" s="285"/>
      <c r="Z4" s="285"/>
      <c r="AA4" s="285"/>
      <c r="AB4" s="285"/>
      <c r="AC4" s="285"/>
      <c r="AD4" s="285"/>
      <c r="AE4" s="285"/>
      <c r="AF4" s="285"/>
      <c r="AG4" s="285"/>
      <c r="AH4" s="285"/>
      <c r="AI4" s="285"/>
      <c r="AJ4" s="285"/>
      <c r="AK4" s="285"/>
      <c r="AL4" s="285"/>
      <c r="AM4" s="285"/>
      <c r="AN4" s="285"/>
      <c r="AO4" s="285"/>
      <c r="AP4" s="285"/>
      <c r="AQ4" s="285"/>
      <c r="AR4" s="285"/>
      <c r="AS4" s="286"/>
      <c r="AT4" s="287" t="s">
        <v>15</v>
      </c>
      <c r="AU4" s="288"/>
      <c r="AV4" s="288"/>
      <c r="AW4" s="288"/>
      <c r="AX4" s="288"/>
      <c r="AY4" s="288"/>
      <c r="AZ4" s="288"/>
      <c r="BA4" s="288"/>
      <c r="BB4" s="288"/>
      <c r="BC4" s="288"/>
      <c r="BD4" s="288"/>
      <c r="BE4" s="288"/>
      <c r="BF4" s="288"/>
      <c r="BG4" s="288"/>
      <c r="BH4" s="288"/>
      <c r="BI4" s="289"/>
    </row>
    <row r="5" spans="1:61" s="1" customFormat="1" ht="14.25">
      <c r="A5" s="276"/>
      <c r="B5" s="27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8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9"/>
    </row>
    <row r="6" spans="1:61" s="1" customFormat="1" ht="14.25">
      <c r="A6" s="278"/>
      <c r="B6" s="279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AT6" s="41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42"/>
    </row>
    <row r="7" spans="1:61" s="1" customFormat="1" ht="12" customHeight="1">
      <c r="A7" s="43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AT7" s="41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42"/>
    </row>
    <row r="8" spans="1:61" s="1" customFormat="1" ht="14.25">
      <c r="A8" s="43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AT8" s="41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42"/>
    </row>
    <row r="9" spans="1:61" s="1" customFormat="1" ht="15.75">
      <c r="A9" s="43"/>
      <c r="D9" s="2"/>
      <c r="E9" s="2"/>
      <c r="F9" s="2"/>
      <c r="G9" s="2"/>
      <c r="H9" s="2"/>
      <c r="I9" s="2"/>
      <c r="J9" s="2"/>
      <c r="K9" s="2"/>
      <c r="L9" s="4"/>
      <c r="M9" s="2"/>
      <c r="N9" s="2"/>
      <c r="O9" s="2"/>
      <c r="U9" s="1" t="s">
        <v>377</v>
      </c>
      <c r="AT9" s="41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42"/>
    </row>
    <row r="10" spans="1:61" s="1" customFormat="1" ht="14.25">
      <c r="A10" s="43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AT10" s="44"/>
      <c r="AU10" s="1" t="s">
        <v>154</v>
      </c>
      <c r="AV10" s="2"/>
      <c r="AW10" s="2"/>
      <c r="AX10" s="2"/>
      <c r="AY10" s="2"/>
      <c r="AZ10" s="45"/>
      <c r="BA10" s="45"/>
      <c r="BB10" s="45"/>
      <c r="BC10" s="45"/>
      <c r="BD10" s="45"/>
      <c r="BE10" s="45"/>
      <c r="BF10" s="45"/>
      <c r="BG10" s="45"/>
      <c r="BH10" s="45"/>
      <c r="BI10" s="3"/>
    </row>
    <row r="11" spans="1:61" s="1" customFormat="1" ht="14.25">
      <c r="A11" s="4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AT11" s="44"/>
      <c r="AU11" s="2" t="s">
        <v>152</v>
      </c>
      <c r="AV11" s="2"/>
      <c r="AW11" s="2"/>
      <c r="AX11" s="2"/>
      <c r="AY11" s="2"/>
      <c r="AZ11" s="45"/>
      <c r="BA11" s="45"/>
      <c r="BB11" s="45"/>
      <c r="BC11" s="45"/>
      <c r="BD11" s="45"/>
      <c r="BE11" s="45"/>
      <c r="BF11" s="45"/>
      <c r="BG11" s="45"/>
      <c r="BH11" s="45"/>
      <c r="BI11" s="3"/>
    </row>
    <row r="12" spans="1:61" s="1" customFormat="1" ht="14.25">
      <c r="A12" s="43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AT12" s="44"/>
      <c r="AX12" s="2"/>
      <c r="AY12" s="2"/>
      <c r="AZ12" s="45"/>
      <c r="BA12" s="45"/>
      <c r="BB12" s="45"/>
      <c r="BC12" s="45"/>
      <c r="BD12" s="45"/>
      <c r="BE12" s="45"/>
      <c r="BF12" s="45"/>
      <c r="BG12" s="45"/>
      <c r="BH12" s="45"/>
      <c r="BI12" s="3"/>
    </row>
    <row r="13" spans="1:61" s="1" customFormat="1" ht="14.25">
      <c r="A13" s="43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AT13" s="44"/>
      <c r="AW13" s="2"/>
      <c r="AX13" s="2"/>
      <c r="AY13" s="2"/>
      <c r="AZ13" s="45"/>
      <c r="BA13" s="45"/>
      <c r="BB13" s="45"/>
      <c r="BC13" s="45"/>
      <c r="BD13" s="45"/>
      <c r="BE13" s="45"/>
      <c r="BF13" s="45"/>
      <c r="BG13" s="45"/>
      <c r="BH13" s="45"/>
      <c r="BI13" s="3"/>
    </row>
    <row r="14" spans="1:61" s="1" customFormat="1" ht="15.75" customHeight="1">
      <c r="A14" s="43"/>
      <c r="C14" s="46"/>
      <c r="D14" s="2"/>
      <c r="G14" s="2"/>
      <c r="H14" s="2"/>
      <c r="I14" s="2"/>
      <c r="J14" s="2"/>
      <c r="K14" s="2"/>
      <c r="L14" s="2"/>
      <c r="M14" s="2"/>
      <c r="N14" s="2"/>
      <c r="O14" s="2"/>
      <c r="AK14" s="4"/>
      <c r="AT14" s="41"/>
      <c r="AU14" s="48" t="s">
        <v>366</v>
      </c>
      <c r="AW14" s="2"/>
      <c r="AX14" s="2"/>
      <c r="AY14" s="2"/>
      <c r="AZ14" s="45"/>
      <c r="BA14" s="45"/>
      <c r="BB14" s="45"/>
      <c r="BC14" s="45"/>
      <c r="BD14" s="45"/>
      <c r="BE14" s="45"/>
      <c r="BF14" s="45"/>
      <c r="BG14" s="45"/>
      <c r="BH14" s="45"/>
      <c r="BI14" s="3"/>
    </row>
    <row r="15" spans="1:61" s="1" customFormat="1" ht="15.75">
      <c r="A15" s="43"/>
      <c r="D15" s="2"/>
      <c r="G15" s="2"/>
      <c r="H15" s="2"/>
      <c r="I15" s="2"/>
      <c r="J15" s="2"/>
      <c r="K15" s="2"/>
      <c r="L15" s="2"/>
      <c r="M15" s="2"/>
      <c r="N15" s="2"/>
      <c r="O15" s="2"/>
      <c r="AK15" s="4"/>
      <c r="AT15" s="41"/>
      <c r="AU15" s="2"/>
      <c r="AV15" s="31" t="s">
        <v>367</v>
      </c>
      <c r="AW15" s="2"/>
      <c r="AX15" s="2"/>
      <c r="AY15" s="2"/>
      <c r="AZ15" s="45"/>
      <c r="BA15" s="45"/>
      <c r="BB15" s="45"/>
      <c r="BC15" s="45"/>
      <c r="BD15" s="45"/>
      <c r="BE15" s="45"/>
      <c r="BF15" s="45"/>
      <c r="BG15" s="45"/>
      <c r="BH15" s="45"/>
      <c r="BI15" s="3"/>
    </row>
    <row r="16" spans="1:61" s="1" customFormat="1" ht="15.75">
      <c r="A16" s="43"/>
      <c r="D16" s="2"/>
      <c r="H16" s="2"/>
      <c r="I16" s="2"/>
      <c r="J16" s="2"/>
      <c r="K16" s="2"/>
      <c r="L16" s="2"/>
      <c r="M16" s="2"/>
      <c r="N16" s="2"/>
      <c r="O16" s="2"/>
      <c r="AK16" s="4"/>
      <c r="AT16" s="41"/>
      <c r="AU16" s="2"/>
      <c r="AV16" s="49" t="s">
        <v>584</v>
      </c>
      <c r="AW16" s="2"/>
      <c r="AX16" s="2"/>
      <c r="AY16" s="2"/>
      <c r="AZ16" s="45"/>
      <c r="BA16" s="45"/>
      <c r="BB16" s="45"/>
      <c r="BC16" s="45"/>
      <c r="BD16" s="45"/>
      <c r="BE16" s="45"/>
      <c r="BF16" s="45"/>
      <c r="BG16" s="45"/>
      <c r="BH16" s="45"/>
      <c r="BI16" s="3"/>
    </row>
    <row r="17" spans="1:61" s="1" customFormat="1" ht="15.75">
      <c r="A17" s="43"/>
      <c r="D17" s="2"/>
      <c r="H17" s="2"/>
      <c r="I17" s="2"/>
      <c r="J17" s="2"/>
      <c r="K17" s="2"/>
      <c r="L17" s="2"/>
      <c r="M17" s="2"/>
      <c r="N17" s="2"/>
      <c r="O17" s="2"/>
      <c r="AK17" s="4"/>
      <c r="AT17" s="41"/>
      <c r="AU17" s="2"/>
      <c r="AV17" s="31" t="s">
        <v>583</v>
      </c>
      <c r="AW17" s="2"/>
      <c r="AX17" s="2"/>
      <c r="AY17" s="2"/>
      <c r="AZ17" s="45"/>
      <c r="BA17" s="45"/>
      <c r="BB17" s="45"/>
      <c r="BC17" s="45"/>
      <c r="BD17" s="45"/>
      <c r="BE17" s="45"/>
      <c r="BF17" s="45"/>
      <c r="BG17" s="45"/>
      <c r="BH17" s="45"/>
      <c r="BI17" s="3"/>
    </row>
    <row r="18" spans="1:61" s="1" customFormat="1" ht="15.75">
      <c r="A18" s="43"/>
      <c r="D18" s="2"/>
      <c r="H18" s="2"/>
      <c r="I18" s="2"/>
      <c r="J18" s="2"/>
      <c r="K18" s="2"/>
      <c r="L18" s="2"/>
      <c r="M18" s="2"/>
      <c r="N18" s="2"/>
      <c r="O18" s="2"/>
      <c r="AK18" s="4"/>
      <c r="AT18" s="41"/>
      <c r="AU18" s="2"/>
      <c r="AV18" s="49" t="s">
        <v>585</v>
      </c>
      <c r="AW18" s="2"/>
      <c r="AX18" s="2"/>
      <c r="AY18" s="2"/>
      <c r="AZ18" s="45"/>
      <c r="BA18" s="45"/>
      <c r="BB18" s="45"/>
      <c r="BC18" s="45"/>
      <c r="BD18" s="45"/>
      <c r="BE18" s="45"/>
      <c r="BF18" s="45"/>
      <c r="BG18" s="45"/>
      <c r="BH18" s="45"/>
      <c r="BI18" s="3"/>
    </row>
    <row r="19" spans="1:61" s="1" customFormat="1" ht="15.75">
      <c r="A19" s="43"/>
      <c r="D19" s="2"/>
      <c r="H19" s="2"/>
      <c r="I19" s="2"/>
      <c r="J19" s="2"/>
      <c r="K19" s="2"/>
      <c r="L19" s="2"/>
      <c r="M19" s="2"/>
      <c r="N19" s="2"/>
      <c r="O19" s="2"/>
      <c r="AK19" s="4"/>
      <c r="AT19" s="41"/>
      <c r="AU19" s="2"/>
      <c r="AV19" s="49"/>
      <c r="AW19" s="2"/>
      <c r="AX19" s="2"/>
      <c r="AY19" s="2"/>
      <c r="AZ19" s="45"/>
      <c r="BA19" s="45"/>
      <c r="BB19" s="45"/>
      <c r="BC19" s="45"/>
      <c r="BD19" s="45"/>
      <c r="BE19" s="45"/>
      <c r="BF19" s="45"/>
      <c r="BG19" s="45"/>
      <c r="BH19" s="45"/>
      <c r="BI19" s="3"/>
    </row>
    <row r="20" spans="1:61" s="1" customFormat="1" ht="15.75">
      <c r="A20" s="43"/>
      <c r="D20" s="2"/>
      <c r="H20" s="2"/>
      <c r="I20" s="2"/>
      <c r="J20" s="2"/>
      <c r="K20" s="2"/>
      <c r="L20" s="2"/>
      <c r="M20" s="2"/>
      <c r="N20" s="2"/>
      <c r="O20" s="2"/>
      <c r="AK20" s="4"/>
      <c r="AT20" s="41"/>
      <c r="AW20" s="2"/>
      <c r="AX20" s="2"/>
      <c r="AY20" s="2"/>
      <c r="AZ20" s="45"/>
      <c r="BA20" s="45"/>
      <c r="BB20" s="45"/>
      <c r="BC20" s="45"/>
      <c r="BD20" s="45"/>
      <c r="BE20" s="45"/>
      <c r="BF20" s="45"/>
      <c r="BG20" s="45"/>
      <c r="BH20" s="45"/>
      <c r="BI20" s="3"/>
    </row>
    <row r="21" spans="1:61" s="1" customFormat="1" ht="15.75">
      <c r="A21" s="43"/>
      <c r="D21" s="2"/>
      <c r="H21" s="2"/>
      <c r="I21" s="2"/>
      <c r="J21" s="2"/>
      <c r="K21" s="2"/>
      <c r="L21" s="2"/>
      <c r="M21" s="2"/>
      <c r="N21" s="2"/>
      <c r="O21" s="2"/>
      <c r="AK21" s="4"/>
      <c r="AT21" s="41"/>
      <c r="AU21" s="31" t="s">
        <v>376</v>
      </c>
      <c r="AV21" s="2"/>
      <c r="AW21" s="2"/>
      <c r="AX21" s="2"/>
      <c r="AY21" s="2"/>
      <c r="AZ21" s="45"/>
      <c r="BA21" s="45"/>
      <c r="BB21" s="45"/>
      <c r="BC21" s="45"/>
      <c r="BD21" s="45"/>
      <c r="BE21" s="45"/>
      <c r="BF21" s="45"/>
      <c r="BG21" s="45"/>
      <c r="BH21" s="45"/>
      <c r="BI21" s="3"/>
    </row>
    <row r="22" spans="1:61" s="1" customFormat="1" ht="14.25">
      <c r="A22" s="40"/>
      <c r="D22" s="2"/>
      <c r="G22" s="2"/>
      <c r="H22" s="2"/>
      <c r="I22" s="2"/>
      <c r="J22" s="2"/>
      <c r="K22" s="2"/>
      <c r="L22" s="2"/>
      <c r="M22" s="2"/>
      <c r="N22" s="2"/>
      <c r="O22" s="2"/>
      <c r="AT22" s="47"/>
      <c r="AU22" s="2"/>
      <c r="AV22" s="2" t="s">
        <v>382</v>
      </c>
      <c r="AW22" s="2"/>
      <c r="BA22" s="2"/>
      <c r="BB22" s="2"/>
      <c r="BC22" s="2"/>
      <c r="BD22" s="2"/>
      <c r="BE22" s="2"/>
      <c r="BF22" s="2"/>
      <c r="BG22" s="2"/>
      <c r="BH22" s="2"/>
      <c r="BI22" s="42"/>
    </row>
    <row r="23" spans="1:61" s="1" customFormat="1" ht="14.25">
      <c r="A23" s="40"/>
      <c r="D23" s="2"/>
      <c r="G23" s="2"/>
      <c r="H23" s="2"/>
      <c r="I23" s="2"/>
      <c r="J23" s="2"/>
      <c r="K23" s="2"/>
      <c r="L23" s="2"/>
      <c r="M23" s="2"/>
      <c r="N23" s="2"/>
      <c r="O23" s="2"/>
      <c r="AT23" s="41"/>
      <c r="AV23" s="1" t="s">
        <v>384</v>
      </c>
      <c r="BH23" s="2"/>
      <c r="BI23" s="42"/>
    </row>
    <row r="24" spans="1:61" s="1" customFormat="1" ht="14.25">
      <c r="A24" s="40"/>
      <c r="D24" s="2"/>
      <c r="G24" s="2"/>
      <c r="H24" s="2"/>
      <c r="I24" s="2"/>
      <c r="J24" s="2"/>
      <c r="K24" s="2"/>
      <c r="L24" s="2"/>
      <c r="M24" s="2"/>
      <c r="N24" s="2"/>
      <c r="O24" s="2"/>
      <c r="AT24" s="41"/>
      <c r="BH24" s="2"/>
      <c r="BI24" s="42"/>
    </row>
    <row r="25" spans="1:61" s="1" customFormat="1" ht="14.25">
      <c r="A25" s="40"/>
      <c r="D25" s="2"/>
      <c r="G25" s="2"/>
      <c r="H25" s="2"/>
      <c r="I25" s="2"/>
      <c r="J25" s="2"/>
      <c r="K25" s="2"/>
      <c r="L25" s="2"/>
      <c r="M25" s="2"/>
      <c r="N25" s="2"/>
      <c r="O25" s="2"/>
      <c r="AT25" s="41"/>
      <c r="AU25" s="50"/>
      <c r="AV25" s="49"/>
      <c r="BH25" s="2"/>
      <c r="BI25" s="42"/>
    </row>
    <row r="26" spans="1:61" s="1" customFormat="1" ht="14.25">
      <c r="A26" s="40"/>
      <c r="D26" s="2"/>
      <c r="G26" s="2"/>
      <c r="H26" s="2"/>
      <c r="I26" s="2"/>
      <c r="J26" s="2"/>
      <c r="K26" s="2"/>
      <c r="L26" s="2"/>
      <c r="M26" s="2"/>
      <c r="N26" s="2"/>
      <c r="O26" s="2"/>
      <c r="AT26" s="41"/>
      <c r="AU26" s="48"/>
      <c r="BH26" s="2"/>
      <c r="BI26" s="42"/>
    </row>
    <row r="27" spans="1:61" s="1" customFormat="1" ht="14.25">
      <c r="A27" s="40"/>
      <c r="D27" s="2"/>
      <c r="G27" s="2"/>
      <c r="H27" s="2"/>
      <c r="I27" s="2"/>
      <c r="J27" s="2"/>
      <c r="K27" s="2"/>
      <c r="L27" s="2"/>
      <c r="M27" s="2"/>
      <c r="N27" s="2"/>
      <c r="O27" s="2"/>
      <c r="AT27" s="41"/>
      <c r="AU27" s="48" t="s">
        <v>368</v>
      </c>
      <c r="BH27" s="2"/>
      <c r="BI27" s="42"/>
    </row>
    <row r="28" spans="1:61" s="1" customFormat="1" ht="14.25">
      <c r="A28" s="40"/>
      <c r="D28" s="2"/>
      <c r="G28" s="2"/>
      <c r="H28" s="2"/>
      <c r="I28" s="2"/>
      <c r="J28" s="2"/>
      <c r="K28" s="2"/>
      <c r="L28" s="2"/>
      <c r="M28" s="2"/>
      <c r="N28" s="2"/>
      <c r="O28" s="2"/>
      <c r="AT28" s="41"/>
      <c r="AU28" s="2"/>
      <c r="AV28" s="49" t="s">
        <v>383</v>
      </c>
      <c r="BH28" s="2"/>
      <c r="BI28" s="42"/>
    </row>
    <row r="29" spans="1:61" s="1" customFormat="1" ht="14.25">
      <c r="A29" s="40"/>
      <c r="D29" s="2"/>
      <c r="G29" s="2"/>
      <c r="H29" s="2"/>
      <c r="I29" s="2"/>
      <c r="J29" s="2"/>
      <c r="K29" s="2"/>
      <c r="L29" s="2"/>
      <c r="M29" s="2"/>
      <c r="N29" s="2"/>
      <c r="O29" s="2"/>
      <c r="AT29" s="41"/>
      <c r="AU29" s="2"/>
      <c r="AV29" s="1" t="s">
        <v>579</v>
      </c>
      <c r="BH29" s="2"/>
      <c r="BI29" s="42"/>
    </row>
    <row r="30" spans="1:61" s="1" customFormat="1" ht="14.25">
      <c r="A30" s="40"/>
      <c r="D30" s="2"/>
      <c r="G30" s="2"/>
      <c r="H30" s="2"/>
      <c r="I30" s="2"/>
      <c r="J30" s="2"/>
      <c r="K30" s="2"/>
      <c r="L30" s="2"/>
      <c r="M30" s="2"/>
      <c r="N30" s="2"/>
      <c r="O30" s="2"/>
      <c r="AT30" s="41"/>
      <c r="AV30" s="48" t="s">
        <v>350</v>
      </c>
      <c r="BH30" s="2"/>
      <c r="BI30" s="42"/>
    </row>
    <row r="31" spans="1:61" s="1" customFormat="1" ht="14.25">
      <c r="A31" s="40"/>
      <c r="D31" s="2"/>
      <c r="G31" s="2"/>
      <c r="H31" s="2"/>
      <c r="I31" s="2"/>
      <c r="J31" s="2"/>
      <c r="K31" s="2"/>
      <c r="L31" s="2"/>
      <c r="M31" s="2"/>
      <c r="N31" s="2"/>
      <c r="O31" s="2"/>
      <c r="AT31" s="41"/>
      <c r="BH31" s="2"/>
      <c r="BI31" s="42"/>
    </row>
    <row r="32" spans="1:61" s="1" customFormat="1" ht="14.25">
      <c r="A32" s="40"/>
      <c r="D32" s="2"/>
      <c r="G32" s="2"/>
      <c r="H32" s="2"/>
      <c r="I32" s="2"/>
      <c r="J32" s="2"/>
      <c r="K32" s="2"/>
      <c r="L32" s="2"/>
      <c r="M32" s="2"/>
      <c r="N32" s="2"/>
      <c r="O32" s="2"/>
      <c r="AT32" s="41"/>
      <c r="BH32" s="2"/>
      <c r="BI32" s="42"/>
    </row>
    <row r="33" spans="1:61" s="1" customFormat="1" ht="14.25">
      <c r="A33" s="40"/>
      <c r="D33" s="2"/>
      <c r="G33" s="2"/>
      <c r="H33" s="2"/>
      <c r="I33" s="2"/>
      <c r="J33" s="2"/>
      <c r="K33" s="2"/>
      <c r="L33" s="2"/>
      <c r="M33" s="2"/>
      <c r="N33" s="2"/>
      <c r="O33" s="2"/>
      <c r="AT33" s="41"/>
      <c r="BH33" s="2"/>
      <c r="BI33" s="42"/>
    </row>
    <row r="34" spans="1:61" s="1" customFormat="1" ht="14.25">
      <c r="A34" s="40"/>
      <c r="D34" s="2"/>
      <c r="G34" s="2"/>
      <c r="H34" s="2"/>
      <c r="I34" s="2"/>
      <c r="J34" s="2"/>
      <c r="K34" s="2"/>
      <c r="L34" s="2"/>
      <c r="M34" s="2"/>
      <c r="N34" s="2"/>
      <c r="O34" s="2"/>
      <c r="AT34" s="41"/>
      <c r="AU34" s="2"/>
      <c r="AV34" s="2"/>
      <c r="BH34" s="2"/>
      <c r="BI34" s="42"/>
    </row>
    <row r="35" spans="1:61" s="1" customFormat="1" ht="14.25">
      <c r="A35" s="40"/>
      <c r="D35" s="2"/>
      <c r="G35" s="2"/>
      <c r="H35" s="2"/>
      <c r="I35" s="2"/>
      <c r="J35" s="2"/>
      <c r="K35" s="2"/>
      <c r="L35" s="2"/>
      <c r="M35" s="2"/>
      <c r="N35" s="2"/>
      <c r="O35" s="2"/>
      <c r="AT35" s="41"/>
      <c r="BH35" s="2"/>
      <c r="BI35" s="42"/>
    </row>
    <row r="36" spans="1:61" s="1" customFormat="1" ht="14.25">
      <c r="A36" s="40"/>
      <c r="D36" s="2"/>
      <c r="G36" s="2"/>
      <c r="H36" s="2"/>
      <c r="I36" s="2"/>
      <c r="J36" s="2"/>
      <c r="K36" s="2"/>
      <c r="L36" s="2"/>
      <c r="M36" s="2"/>
      <c r="N36" s="2"/>
      <c r="O36" s="2"/>
      <c r="AT36" s="41"/>
      <c r="BH36" s="2"/>
      <c r="BI36" s="42"/>
    </row>
    <row r="37" spans="1:61" s="1" customFormat="1" ht="14.25">
      <c r="A37" s="40"/>
      <c r="D37" s="2"/>
      <c r="G37" s="2"/>
      <c r="H37" s="2"/>
      <c r="I37" s="2"/>
      <c r="J37" s="2"/>
      <c r="K37" s="2"/>
      <c r="L37" s="2"/>
      <c r="M37" s="2"/>
      <c r="N37" s="2"/>
      <c r="O37" s="2"/>
      <c r="AT37" s="41"/>
      <c r="AU37" s="48" t="s">
        <v>370</v>
      </c>
      <c r="BH37" s="2"/>
      <c r="BI37" s="42"/>
    </row>
    <row r="38" spans="1:61" s="1" customFormat="1" ht="14.25">
      <c r="A38" s="40"/>
      <c r="D38" s="2"/>
      <c r="G38" s="2"/>
      <c r="H38" s="2"/>
      <c r="I38" s="2"/>
      <c r="J38" s="2"/>
      <c r="K38" s="2"/>
      <c r="L38" s="2"/>
      <c r="M38" s="2"/>
      <c r="N38" s="2"/>
      <c r="O38" s="2"/>
      <c r="AT38" s="41"/>
      <c r="AU38" s="2"/>
      <c r="AV38" s="49" t="s">
        <v>580</v>
      </c>
      <c r="BH38" s="2"/>
      <c r="BI38" s="42"/>
    </row>
    <row r="39" spans="1:61" s="1" customFormat="1" ht="14.25">
      <c r="A39" s="40"/>
      <c r="D39" s="2"/>
      <c r="G39" s="2"/>
      <c r="H39" s="2"/>
      <c r="I39" s="2"/>
      <c r="J39" s="2"/>
      <c r="K39" s="2"/>
      <c r="L39" s="2"/>
      <c r="M39" s="2"/>
      <c r="N39" s="2"/>
      <c r="O39" s="2"/>
      <c r="AT39" s="41"/>
      <c r="AU39" s="2"/>
      <c r="AW39" s="1" t="s">
        <v>346</v>
      </c>
    </row>
    <row r="40" spans="1:61" s="1" customFormat="1" ht="14.25">
      <c r="A40" s="40"/>
      <c r="D40" s="2"/>
      <c r="G40" s="2"/>
      <c r="H40" s="2"/>
      <c r="I40" s="2"/>
      <c r="J40" s="2"/>
      <c r="K40" s="2"/>
      <c r="L40" s="2"/>
      <c r="M40" s="2"/>
      <c r="N40" s="2"/>
      <c r="O40" s="2"/>
      <c r="AT40" s="41"/>
      <c r="AU40" s="50"/>
      <c r="AV40" s="48" t="s">
        <v>365</v>
      </c>
      <c r="BH40" s="2"/>
      <c r="BI40" s="42"/>
    </row>
    <row r="41" spans="1:61" s="1" customFormat="1" ht="14.25">
      <c r="A41" s="40"/>
      <c r="D41" s="2"/>
      <c r="G41" s="2"/>
      <c r="H41" s="2"/>
      <c r="I41" s="2"/>
      <c r="J41" s="2"/>
      <c r="K41" s="2"/>
      <c r="L41" s="2"/>
      <c r="M41" s="2"/>
      <c r="N41" s="2"/>
      <c r="O41" s="2"/>
      <c r="AT41" s="41"/>
      <c r="BH41" s="2"/>
      <c r="BI41" s="42"/>
    </row>
    <row r="42" spans="1:61" s="1" customFormat="1" ht="14.25">
      <c r="A42" s="40"/>
      <c r="D42" s="2"/>
      <c r="G42" s="2"/>
      <c r="H42" s="2"/>
      <c r="I42" s="2"/>
      <c r="J42" s="2"/>
      <c r="K42" s="2"/>
      <c r="L42" s="2"/>
      <c r="M42" s="2"/>
      <c r="N42" s="2"/>
      <c r="O42" s="2"/>
      <c r="AT42" s="41"/>
      <c r="BH42" s="2"/>
      <c r="BI42" s="42"/>
    </row>
    <row r="43" spans="1:61" s="1" customFormat="1" ht="14.25">
      <c r="A43" s="40"/>
      <c r="D43" s="2"/>
      <c r="G43" s="2"/>
      <c r="H43" s="2"/>
      <c r="I43" s="2"/>
      <c r="J43" s="2"/>
      <c r="K43" s="2"/>
      <c r="L43" s="2"/>
      <c r="M43" s="2"/>
      <c r="N43" s="2"/>
      <c r="O43" s="2"/>
      <c r="AT43" s="41"/>
      <c r="BH43" s="2"/>
      <c r="BI43" s="42"/>
    </row>
    <row r="44" spans="1:61" s="1" customFormat="1" ht="14.25">
      <c r="A44" s="40"/>
      <c r="D44" s="2"/>
      <c r="G44" s="2"/>
      <c r="H44" s="2"/>
      <c r="I44" s="2"/>
      <c r="J44" s="2"/>
      <c r="K44" s="2"/>
      <c r="L44" s="2"/>
      <c r="M44" s="2"/>
      <c r="N44" s="2"/>
      <c r="O44" s="2"/>
      <c r="AT44" s="41"/>
      <c r="BH44" s="2"/>
      <c r="BI44" s="42"/>
    </row>
    <row r="45" spans="1:61" s="1" customFormat="1" ht="14.25">
      <c r="A45" s="40"/>
      <c r="D45" s="2"/>
      <c r="G45" s="2"/>
      <c r="H45" s="2"/>
      <c r="I45" s="2"/>
      <c r="J45" s="2"/>
      <c r="K45" s="2"/>
      <c r="L45" s="2"/>
      <c r="M45" s="2"/>
      <c r="N45" s="2"/>
      <c r="O45" s="2"/>
      <c r="AT45" s="41"/>
      <c r="BH45" s="2"/>
      <c r="BI45" s="42"/>
    </row>
    <row r="46" spans="1:61" s="1" customFormat="1" ht="14.25">
      <c r="A46" s="40"/>
      <c r="D46" s="2"/>
      <c r="G46" s="2"/>
      <c r="H46" s="2"/>
      <c r="I46" s="2"/>
      <c r="J46" s="2"/>
      <c r="K46" s="2"/>
      <c r="L46" s="2"/>
      <c r="M46" s="2"/>
      <c r="N46" s="2"/>
      <c r="O46" s="2"/>
      <c r="AT46" s="41"/>
      <c r="BH46" s="2"/>
      <c r="BI46" s="42"/>
    </row>
    <row r="47" spans="1:61" s="1" customFormat="1" ht="14.25">
      <c r="A47" s="40"/>
      <c r="D47" s="2"/>
      <c r="G47" s="2"/>
      <c r="H47" s="2"/>
      <c r="I47" s="2"/>
      <c r="J47" s="2"/>
      <c r="K47" s="2"/>
      <c r="L47" s="2"/>
      <c r="M47" s="2"/>
      <c r="N47" s="2"/>
      <c r="O47" s="2"/>
      <c r="AT47" s="41"/>
      <c r="BH47" s="2"/>
      <c r="BI47" s="42"/>
    </row>
    <row r="48" spans="1:61" s="1" customFormat="1" ht="14.25">
      <c r="A48" s="40"/>
      <c r="D48" s="2"/>
      <c r="G48" s="2"/>
      <c r="H48" s="2"/>
      <c r="I48" s="2"/>
      <c r="J48" s="2"/>
      <c r="K48" s="2"/>
      <c r="L48" s="2"/>
      <c r="M48" s="2"/>
      <c r="N48" s="2"/>
      <c r="O48" s="2"/>
      <c r="AT48" s="41"/>
      <c r="AU48" s="48"/>
      <c r="BH48" s="2"/>
      <c r="BI48" s="42"/>
    </row>
    <row r="49" spans="1:61" s="1" customFormat="1" ht="14.25">
      <c r="A49" s="40"/>
      <c r="D49" s="2"/>
      <c r="G49" s="2"/>
      <c r="H49" s="2"/>
      <c r="I49" s="2"/>
      <c r="J49" s="2"/>
      <c r="K49" s="2"/>
      <c r="L49" s="2"/>
      <c r="M49" s="2"/>
      <c r="N49" s="2"/>
      <c r="O49" s="2"/>
      <c r="AT49" s="41"/>
      <c r="AU49" s="48"/>
      <c r="BH49" s="2"/>
      <c r="BI49" s="42"/>
    </row>
    <row r="50" spans="1:61" s="1" customFormat="1" ht="14.25">
      <c r="A50" s="40"/>
      <c r="D50" s="2"/>
      <c r="G50" s="2"/>
      <c r="H50" s="2"/>
      <c r="I50" s="2"/>
      <c r="J50" s="2"/>
      <c r="K50" s="2"/>
      <c r="L50" s="2"/>
      <c r="M50" s="2"/>
      <c r="N50" s="2"/>
      <c r="O50" s="2"/>
      <c r="AT50" s="41"/>
      <c r="AU50" s="48" t="s">
        <v>369</v>
      </c>
      <c r="BH50" s="2"/>
      <c r="BI50" s="42"/>
    </row>
    <row r="51" spans="1:61" s="1" customFormat="1" ht="14.25">
      <c r="A51" s="40"/>
      <c r="D51" s="2"/>
      <c r="G51" s="2"/>
      <c r="H51" s="2"/>
      <c r="I51" s="2"/>
      <c r="J51" s="2"/>
      <c r="K51" s="2"/>
      <c r="L51" s="2"/>
      <c r="M51" s="2"/>
      <c r="N51" s="2"/>
      <c r="O51" s="2"/>
      <c r="AT51" s="41"/>
      <c r="AU51" s="2"/>
      <c r="AV51" s="49" t="s">
        <v>374</v>
      </c>
      <c r="BH51" s="2"/>
      <c r="BI51" s="42"/>
    </row>
    <row r="52" spans="1:61" s="1" customFormat="1" ht="14.25">
      <c r="A52" s="40"/>
      <c r="D52" s="2"/>
      <c r="G52" s="2"/>
      <c r="H52" s="2"/>
      <c r="I52" s="2"/>
      <c r="J52" s="2"/>
      <c r="K52" s="2"/>
      <c r="L52" s="2"/>
      <c r="M52" s="2"/>
      <c r="N52" s="2"/>
      <c r="O52" s="2"/>
      <c r="AT52" s="41"/>
      <c r="AU52" s="2"/>
      <c r="AV52" s="48" t="s">
        <v>569</v>
      </c>
      <c r="BH52" s="2"/>
      <c r="BI52" s="42"/>
    </row>
    <row r="53" spans="1:61" s="1" customFormat="1" ht="14.25">
      <c r="A53" s="40"/>
      <c r="D53" s="2"/>
      <c r="G53" s="2"/>
      <c r="H53" s="2"/>
      <c r="I53" s="2"/>
      <c r="J53" s="2"/>
      <c r="K53" s="2"/>
      <c r="L53" s="2"/>
      <c r="M53" s="2"/>
      <c r="N53" s="2"/>
      <c r="O53" s="2"/>
      <c r="AT53" s="41"/>
      <c r="AU53" s="50"/>
      <c r="BH53" s="2"/>
      <c r="BI53" s="42"/>
    </row>
    <row r="54" spans="1:61" s="1" customFormat="1" ht="14.25">
      <c r="A54" s="40"/>
      <c r="D54" s="2"/>
      <c r="G54" s="2"/>
      <c r="H54" s="2"/>
      <c r="I54" s="2"/>
      <c r="J54" s="2"/>
      <c r="K54" s="2"/>
      <c r="L54" s="2"/>
      <c r="M54" s="2"/>
      <c r="N54" s="2"/>
      <c r="O54" s="2"/>
      <c r="AT54" s="41"/>
      <c r="AV54" s="1" t="s">
        <v>592</v>
      </c>
      <c r="BH54" s="2"/>
      <c r="BI54" s="42"/>
    </row>
    <row r="55" spans="1:61" s="1" customFormat="1" ht="14.25">
      <c r="A55" s="40"/>
      <c r="D55" s="2"/>
      <c r="G55" s="2"/>
      <c r="H55" s="2"/>
      <c r="I55" s="2"/>
      <c r="J55" s="2"/>
      <c r="K55" s="2"/>
      <c r="L55" s="2"/>
      <c r="M55" s="2"/>
      <c r="N55" s="2"/>
      <c r="O55" s="2"/>
      <c r="AT55" s="41"/>
      <c r="AV55" s="48" t="s">
        <v>599</v>
      </c>
      <c r="BH55" s="2"/>
      <c r="BI55" s="42"/>
    </row>
    <row r="56" spans="1:61" s="1" customFormat="1" ht="14.25">
      <c r="A56" s="40"/>
      <c r="D56" s="2"/>
      <c r="G56" s="2"/>
      <c r="H56" s="2"/>
      <c r="I56" s="2"/>
      <c r="J56" s="2"/>
      <c r="K56" s="2"/>
      <c r="L56" s="2"/>
      <c r="M56" s="2"/>
      <c r="N56" s="2"/>
      <c r="O56" s="2"/>
      <c r="AT56" s="41"/>
      <c r="BH56" s="2"/>
      <c r="BI56" s="42"/>
    </row>
    <row r="57" spans="1:61" s="1" customFormat="1" ht="14.25">
      <c r="A57" s="40"/>
      <c r="D57" s="2"/>
      <c r="G57" s="2"/>
      <c r="H57" s="2"/>
      <c r="I57" s="2"/>
      <c r="J57" s="2"/>
      <c r="K57" s="2"/>
      <c r="L57" s="2"/>
      <c r="M57" s="2"/>
      <c r="N57" s="2"/>
      <c r="O57" s="2"/>
      <c r="AT57" s="41"/>
      <c r="BH57" s="2"/>
      <c r="BI57" s="42"/>
    </row>
    <row r="58" spans="1:61" s="1" customFormat="1" ht="14.25">
      <c r="A58" s="40"/>
      <c r="D58" s="2"/>
      <c r="G58" s="2"/>
      <c r="H58" s="2"/>
      <c r="I58" s="2"/>
      <c r="J58" s="2"/>
      <c r="K58" s="2"/>
      <c r="L58" s="2"/>
      <c r="M58" s="2"/>
      <c r="N58" s="2"/>
      <c r="O58" s="2"/>
      <c r="AT58" s="41"/>
      <c r="AU58" s="48"/>
      <c r="BH58" s="2"/>
      <c r="BI58" s="42"/>
    </row>
    <row r="59" spans="1:61" s="1" customFormat="1" ht="14.25">
      <c r="A59" s="40"/>
      <c r="D59" s="2"/>
      <c r="G59" s="2"/>
      <c r="H59" s="2"/>
      <c r="I59" s="2"/>
      <c r="J59" s="2"/>
      <c r="K59" s="2"/>
      <c r="L59" s="2"/>
      <c r="M59" s="2"/>
      <c r="N59" s="2"/>
      <c r="O59" s="2"/>
      <c r="AT59" s="41"/>
      <c r="AU59" s="2"/>
      <c r="AV59" s="49"/>
      <c r="BH59" s="2"/>
      <c r="BI59" s="42"/>
    </row>
    <row r="60" spans="1:61" s="1" customFormat="1" ht="14.25">
      <c r="A60" s="40"/>
      <c r="D60" s="2"/>
      <c r="G60" s="2"/>
      <c r="H60" s="2"/>
      <c r="I60" s="2"/>
      <c r="J60" s="2"/>
      <c r="K60" s="2"/>
      <c r="L60" s="2"/>
      <c r="M60" s="2"/>
      <c r="N60" s="2"/>
      <c r="O60" s="2"/>
      <c r="AT60" s="41"/>
      <c r="AU60" s="2"/>
      <c r="AV60" s="48"/>
      <c r="BH60" s="2"/>
      <c r="BI60" s="42"/>
    </row>
    <row r="61" spans="1:61" s="1" customFormat="1" ht="14.25">
      <c r="A61" s="40"/>
      <c r="D61" s="2"/>
      <c r="G61" s="2"/>
      <c r="H61" s="2"/>
      <c r="I61" s="2"/>
      <c r="J61" s="2"/>
      <c r="K61" s="2"/>
      <c r="L61" s="2"/>
      <c r="M61" s="2"/>
      <c r="N61" s="2"/>
      <c r="O61" s="2"/>
      <c r="AT61" s="41"/>
      <c r="BH61" s="2"/>
      <c r="BI61" s="42"/>
    </row>
    <row r="62" spans="1:61" s="1" customFormat="1" ht="14.25">
      <c r="A62" s="40"/>
      <c r="D62" s="2"/>
      <c r="G62" s="2"/>
      <c r="H62" s="2"/>
      <c r="I62" s="2"/>
      <c r="J62" s="2"/>
      <c r="K62" s="2"/>
      <c r="L62" s="2"/>
      <c r="M62" s="2"/>
      <c r="N62" s="2"/>
      <c r="O62" s="2"/>
      <c r="AT62" s="41"/>
      <c r="BH62" s="2"/>
      <c r="BI62" s="42"/>
    </row>
    <row r="63" spans="1:61" s="1" customFormat="1" ht="14.25">
      <c r="A63" s="40"/>
      <c r="D63" s="2"/>
      <c r="G63" s="2"/>
      <c r="H63" s="2"/>
      <c r="I63" s="2"/>
      <c r="J63" s="2"/>
      <c r="K63" s="2"/>
      <c r="L63" s="2"/>
      <c r="M63" s="2"/>
      <c r="N63" s="2"/>
      <c r="O63" s="2"/>
      <c r="AT63" s="41"/>
      <c r="BH63" s="2"/>
      <c r="BI63" s="42"/>
    </row>
    <row r="64" spans="1:61" s="1" customFormat="1" ht="14.25">
      <c r="A64" s="40"/>
      <c r="D64" s="2"/>
      <c r="G64" s="2"/>
      <c r="H64" s="2"/>
      <c r="I64" s="2"/>
      <c r="J64" s="2"/>
      <c r="K64" s="2"/>
      <c r="L64" s="2"/>
      <c r="M64" s="2"/>
      <c r="N64" s="2"/>
      <c r="O64" s="2"/>
      <c r="AT64" s="41"/>
      <c r="BH64" s="2"/>
      <c r="BI64" s="42"/>
    </row>
    <row r="65" spans="1:61" s="1" customFormat="1" ht="14.25">
      <c r="A65" s="40"/>
      <c r="D65" s="2"/>
      <c r="G65" s="2"/>
      <c r="H65" s="2"/>
      <c r="I65" s="2"/>
      <c r="J65" s="2"/>
      <c r="K65" s="2"/>
      <c r="L65" s="2"/>
      <c r="M65" s="2"/>
      <c r="N65" s="2"/>
      <c r="O65" s="2"/>
      <c r="AT65" s="41"/>
      <c r="BH65" s="2"/>
      <c r="BI65" s="42"/>
    </row>
    <row r="66" spans="1:61" s="1" customFormat="1" ht="14.25">
      <c r="A66" s="40"/>
      <c r="D66" s="2"/>
      <c r="G66" s="2"/>
      <c r="H66" s="2"/>
      <c r="I66" s="2"/>
      <c r="J66" s="2"/>
      <c r="K66" s="2"/>
      <c r="L66" s="2"/>
      <c r="M66" s="2"/>
      <c r="N66" s="2"/>
      <c r="O66" s="2"/>
      <c r="AT66" s="41"/>
      <c r="BH66" s="2"/>
      <c r="BI66" s="42"/>
    </row>
    <row r="67" spans="1:61" s="1" customFormat="1" ht="14.25">
      <c r="A67" s="40"/>
      <c r="D67" s="2"/>
      <c r="G67" s="2"/>
      <c r="H67" s="2"/>
      <c r="I67" s="2"/>
      <c r="J67" s="2"/>
      <c r="K67" s="2"/>
      <c r="L67" s="2"/>
      <c r="M67" s="2"/>
      <c r="N67" s="2"/>
      <c r="O67" s="2"/>
      <c r="AT67" s="41"/>
      <c r="AU67" s="48"/>
      <c r="BH67" s="2"/>
      <c r="BI67" s="42"/>
    </row>
    <row r="68" spans="1:61" s="1" customFormat="1" ht="14.25">
      <c r="A68" s="40"/>
      <c r="D68" s="2"/>
      <c r="G68" s="2"/>
      <c r="H68" s="2"/>
      <c r="I68" s="2"/>
      <c r="J68" s="2"/>
      <c r="K68" s="2"/>
      <c r="L68" s="2"/>
      <c r="M68" s="2"/>
      <c r="N68" s="2"/>
      <c r="O68" s="2"/>
      <c r="AT68" s="41"/>
      <c r="AU68" s="48" t="s">
        <v>371</v>
      </c>
      <c r="BH68" s="2"/>
      <c r="BI68" s="42"/>
    </row>
    <row r="69" spans="1:61" s="1" customFormat="1" ht="14.25">
      <c r="A69" s="40"/>
      <c r="D69" s="2"/>
      <c r="G69" s="2"/>
      <c r="H69" s="2"/>
      <c r="I69" s="2"/>
      <c r="J69" s="2"/>
      <c r="K69" s="2"/>
      <c r="L69" s="2"/>
      <c r="M69" s="2"/>
      <c r="N69" s="2"/>
      <c r="O69" s="2"/>
      <c r="AT69" s="41"/>
      <c r="BH69" s="2"/>
      <c r="BI69" s="42"/>
    </row>
    <row r="70" spans="1:61" s="1" customFormat="1" ht="14.25">
      <c r="A70" s="40"/>
      <c r="D70" s="2"/>
      <c r="G70" s="2"/>
      <c r="H70" s="2"/>
      <c r="I70" s="2"/>
      <c r="J70" s="2"/>
      <c r="K70" s="2"/>
      <c r="L70" s="2"/>
      <c r="M70" s="2"/>
      <c r="N70" s="2"/>
      <c r="O70" s="2"/>
      <c r="AT70" s="41"/>
      <c r="AU70" s="2"/>
      <c r="AV70" s="49"/>
      <c r="BH70" s="2"/>
      <c r="BI70" s="42"/>
    </row>
    <row r="71" spans="1:61" s="1" customFormat="1" ht="14.25">
      <c r="A71" s="40"/>
      <c r="D71" s="2"/>
      <c r="G71" s="2"/>
      <c r="H71" s="2"/>
      <c r="I71" s="2"/>
      <c r="J71" s="2"/>
      <c r="K71" s="2"/>
      <c r="L71" s="2"/>
      <c r="M71" s="2"/>
      <c r="N71" s="2"/>
      <c r="O71" s="2"/>
      <c r="AT71" s="41"/>
      <c r="AU71" s="2"/>
      <c r="AV71" s="49"/>
      <c r="BH71" s="2"/>
      <c r="BI71" s="42"/>
    </row>
    <row r="72" spans="1:61" s="1" customFormat="1" ht="14.25">
      <c r="A72" s="40"/>
      <c r="D72" s="2"/>
      <c r="G72" s="2"/>
      <c r="H72" s="2"/>
      <c r="I72" s="2"/>
      <c r="J72" s="2"/>
      <c r="K72" s="2"/>
      <c r="L72" s="2"/>
      <c r="M72" s="2"/>
      <c r="N72" s="2"/>
      <c r="O72" s="2"/>
      <c r="AT72" s="41"/>
      <c r="AU72" s="48"/>
      <c r="BH72" s="2"/>
      <c r="BI72" s="42"/>
    </row>
    <row r="73" spans="1:61" s="1" customFormat="1" ht="14.25">
      <c r="A73" s="136"/>
      <c r="B73" s="33"/>
      <c r="C73" s="33"/>
      <c r="D73" s="137"/>
      <c r="E73" s="33"/>
      <c r="F73" s="33"/>
      <c r="G73" s="137"/>
      <c r="H73" s="137"/>
      <c r="I73" s="137"/>
      <c r="J73" s="137"/>
      <c r="K73" s="137"/>
      <c r="L73" s="137"/>
      <c r="M73" s="137"/>
      <c r="N73" s="137"/>
      <c r="O73" s="137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138"/>
      <c r="AU73" s="139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137"/>
      <c r="BI73" s="140"/>
    </row>
  </sheetData>
  <mergeCells count="7">
    <mergeCell ref="A5:B5"/>
    <mergeCell ref="A6:B6"/>
    <mergeCell ref="A2:Z3"/>
    <mergeCell ref="AP3:AU3"/>
    <mergeCell ref="AP2:AU2"/>
    <mergeCell ref="A4:AS4"/>
    <mergeCell ref="AT4:BI4"/>
  </mergeCells>
  <phoneticPr fontId="6"/>
  <pageMargins left="0.7" right="0.7" top="0.75" bottom="0.75" header="0.3" footer="0.3"/>
  <pageSetup paperSize="9" scale="25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562CF-BCA0-443F-BA4B-BAAD52B4E784}">
  <sheetPr>
    <pageSetUpPr fitToPage="1"/>
  </sheetPr>
  <dimension ref="A1:Q401"/>
  <sheetViews>
    <sheetView showGridLines="0" topLeftCell="A13" zoomScale="90" zoomScaleNormal="90" workbookViewId="0">
      <selection activeCell="E207" sqref="E207"/>
    </sheetView>
  </sheetViews>
  <sheetFormatPr defaultColWidth="8.75" defaultRowHeight="15.75"/>
  <cols>
    <col min="1" max="1" width="3.75" style="59" customWidth="1"/>
    <col min="2" max="2" width="32" style="59" customWidth="1"/>
    <col min="3" max="3" width="53.375" style="59" customWidth="1"/>
    <col min="4" max="4" width="33.875" style="59" customWidth="1"/>
    <col min="5" max="5" width="34.875" style="59" customWidth="1"/>
    <col min="6" max="6" width="23.25" style="59" customWidth="1"/>
    <col min="7" max="16384" width="8.75" style="59"/>
  </cols>
  <sheetData>
    <row r="1" spans="1:17" s="60" customFormat="1" ht="14.25">
      <c r="D1" s="70" t="str">
        <f>更新履歴!K2</f>
        <v>2026.12.21</v>
      </c>
    </row>
    <row r="2" spans="1:17" s="60" customFormat="1" ht="14.45" customHeight="1" thickBot="1">
      <c r="A2" s="195" t="s">
        <v>117</v>
      </c>
      <c r="B2" s="195"/>
    </row>
    <row r="3" spans="1:17" s="60" customFormat="1" ht="14.45" customHeight="1">
      <c r="A3" s="195"/>
      <c r="B3" s="195"/>
      <c r="C3" s="102" t="s">
        <v>99</v>
      </c>
      <c r="D3" s="103" t="str">
        <f>更新履歴!K1</f>
        <v>CNレポート作成アプリ「LecMoc」</v>
      </c>
    </row>
    <row r="4" spans="1:17" s="60" customFormat="1" ht="15" thickBot="1">
      <c r="C4" s="104" t="s">
        <v>118</v>
      </c>
      <c r="D4" s="105" t="s">
        <v>119</v>
      </c>
    </row>
    <row r="5" spans="1:17" s="60" customFormat="1" ht="14.25"/>
    <row r="6" spans="1:17" s="1" customFormat="1" ht="14.25">
      <c r="A6" s="184"/>
      <c r="B6" s="184"/>
      <c r="C6" s="63"/>
      <c r="D6" s="156" t="s">
        <v>340</v>
      </c>
      <c r="M6" s="51"/>
      <c r="Q6" s="51"/>
    </row>
    <row r="7" spans="1:17" s="1" customFormat="1" ht="14.25">
      <c r="A7" s="52">
        <v>1</v>
      </c>
      <c r="B7" s="53" t="s">
        <v>508</v>
      </c>
      <c r="C7" s="54"/>
      <c r="D7" s="162"/>
      <c r="M7" s="51"/>
      <c r="Q7" s="51"/>
    </row>
    <row r="8" spans="1:17" s="1" customFormat="1" ht="14.25">
      <c r="A8" s="196" t="s">
        <v>16</v>
      </c>
      <c r="B8" s="196" t="s">
        <v>17</v>
      </c>
      <c r="C8" s="65" t="s">
        <v>18</v>
      </c>
      <c r="D8" s="64"/>
      <c r="K8" s="51"/>
      <c r="O8" s="51"/>
    </row>
    <row r="9" spans="1:17" s="1" customFormat="1" ht="14.25">
      <c r="A9" s="197"/>
      <c r="B9" s="197"/>
      <c r="C9" s="64" t="s">
        <v>604</v>
      </c>
      <c r="D9" s="66"/>
      <c r="L9" s="51"/>
      <c r="P9" s="51"/>
    </row>
    <row r="10" spans="1:17" s="1" customFormat="1" ht="28.5">
      <c r="A10" s="55">
        <v>1</v>
      </c>
      <c r="B10" s="35" t="s">
        <v>509</v>
      </c>
      <c r="C10" s="56" t="s">
        <v>605</v>
      </c>
      <c r="D10" s="57" t="s">
        <v>510</v>
      </c>
    </row>
    <row r="11" spans="1:17" s="60" customFormat="1" ht="14.25"/>
    <row r="12" spans="1:17" s="60" customFormat="1" ht="14.25"/>
    <row r="13" spans="1:17" s="1" customFormat="1" ht="14.25">
      <c r="A13" s="184"/>
      <c r="B13" s="184"/>
      <c r="C13" s="63"/>
      <c r="D13" s="156" t="s">
        <v>340</v>
      </c>
      <c r="M13" s="51"/>
      <c r="Q13" s="51"/>
    </row>
    <row r="14" spans="1:17" s="1" customFormat="1" ht="14.25">
      <c r="A14" s="52">
        <v>2</v>
      </c>
      <c r="B14" s="185" t="s">
        <v>582</v>
      </c>
      <c r="C14" s="54"/>
      <c r="D14" s="162"/>
      <c r="M14" s="51"/>
      <c r="Q14" s="51"/>
    </row>
    <row r="15" spans="1:17" s="1" customFormat="1" ht="14.25">
      <c r="A15" s="196" t="s">
        <v>16</v>
      </c>
      <c r="B15" s="196" t="s">
        <v>17</v>
      </c>
      <c r="C15" s="65" t="s">
        <v>18</v>
      </c>
      <c r="D15" s="64"/>
      <c r="K15" s="51"/>
      <c r="O15" s="51"/>
    </row>
    <row r="16" spans="1:17" s="1" customFormat="1" ht="14.25">
      <c r="A16" s="197"/>
      <c r="B16" s="197"/>
      <c r="C16" s="64" t="s">
        <v>19</v>
      </c>
      <c r="D16" s="66"/>
      <c r="L16" s="51"/>
      <c r="P16" s="51"/>
    </row>
    <row r="17" spans="1:16" s="1" customFormat="1" ht="56.25" customHeight="1">
      <c r="A17" s="55">
        <v>1</v>
      </c>
      <c r="B17" s="35" t="s">
        <v>512</v>
      </c>
      <c r="C17" s="56" t="s">
        <v>581</v>
      </c>
      <c r="D17" s="57" t="s">
        <v>511</v>
      </c>
    </row>
    <row r="18" spans="1:16" s="60" customFormat="1" ht="14.25"/>
    <row r="19" spans="1:16" s="1" customFormat="1" ht="14.25">
      <c r="A19" s="151"/>
      <c r="B19" s="152"/>
      <c r="C19" s="153"/>
      <c r="D19" s="154"/>
    </row>
    <row r="20" spans="1:16" s="1" customFormat="1" ht="14.25">
      <c r="A20" s="151"/>
      <c r="B20" s="152"/>
      <c r="C20" s="153"/>
      <c r="D20" s="154"/>
    </row>
    <row r="21" spans="1:16" s="158" customFormat="1" ht="14.25">
      <c r="A21" s="155" t="s">
        <v>16</v>
      </c>
      <c r="B21" s="155" t="s">
        <v>341</v>
      </c>
      <c r="C21" s="157" t="s">
        <v>217</v>
      </c>
      <c r="D21" s="156" t="s">
        <v>340</v>
      </c>
      <c r="L21" s="159"/>
      <c r="P21" s="159"/>
    </row>
    <row r="22" spans="1:16" s="158" customFormat="1" ht="14.25">
      <c r="A22" s="160">
        <v>3</v>
      </c>
      <c r="B22" s="161" t="s">
        <v>219</v>
      </c>
      <c r="C22" s="162" t="s">
        <v>210</v>
      </c>
      <c r="D22" s="162"/>
      <c r="L22" s="159"/>
      <c r="P22" s="159"/>
    </row>
    <row r="23" spans="1:16" s="158" customFormat="1" ht="14.25">
      <c r="A23" s="193" t="s">
        <v>16</v>
      </c>
      <c r="B23" s="193" t="s">
        <v>211</v>
      </c>
      <c r="C23" s="65" t="s">
        <v>18</v>
      </c>
      <c r="D23" s="193"/>
      <c r="J23" s="159"/>
      <c r="N23" s="159"/>
    </row>
    <row r="24" spans="1:16" s="158" customFormat="1" ht="14.25">
      <c r="A24" s="194"/>
      <c r="B24" s="194"/>
      <c r="C24" s="64" t="s">
        <v>19</v>
      </c>
      <c r="D24" s="194"/>
      <c r="K24" s="159"/>
      <c r="O24" s="159"/>
    </row>
    <row r="25" spans="1:16" s="158" customFormat="1" ht="14.25">
      <c r="A25" s="164">
        <v>1</v>
      </c>
      <c r="B25" s="165" t="s">
        <v>22</v>
      </c>
      <c r="C25" s="166" t="s">
        <v>344</v>
      </c>
      <c r="D25" s="167"/>
    </row>
    <row r="26" spans="1:16" s="158" customFormat="1" ht="14.25">
      <c r="A26" s="155" t="s">
        <v>212</v>
      </c>
      <c r="B26" s="155"/>
      <c r="C26" s="177" t="s">
        <v>213</v>
      </c>
      <c r="D26" s="163"/>
    </row>
    <row r="27" spans="1:16" s="158" customFormat="1" ht="14.25">
      <c r="A27" s="198" t="s">
        <v>233</v>
      </c>
      <c r="B27" s="188"/>
      <c r="C27" s="171" t="s">
        <v>343</v>
      </c>
      <c r="D27" s="167"/>
      <c r="K27" s="159"/>
      <c r="O27" s="159"/>
    </row>
    <row r="28" spans="1:16" s="158" customFormat="1" ht="42.75">
      <c r="A28" s="198" t="s">
        <v>345</v>
      </c>
      <c r="B28" s="188"/>
      <c r="C28" s="171" t="s">
        <v>319</v>
      </c>
      <c r="D28" s="178"/>
      <c r="K28" s="159"/>
      <c r="O28" s="159"/>
    </row>
    <row r="29" spans="1:16" s="158" customFormat="1" ht="14.25">
      <c r="A29" s="189" t="s">
        <v>214</v>
      </c>
      <c r="B29" s="190"/>
      <c r="C29" s="191"/>
      <c r="D29" s="163"/>
      <c r="K29" s="159"/>
      <c r="O29" s="159"/>
    </row>
    <row r="30" spans="1:16" s="158" customFormat="1" ht="54.75" customHeight="1">
      <c r="A30" s="186" t="s">
        <v>517</v>
      </c>
      <c r="B30" s="187"/>
      <c r="C30" s="188"/>
      <c r="D30" s="167"/>
      <c r="K30" s="159"/>
      <c r="O30" s="159"/>
    </row>
    <row r="31" spans="1:16" s="158" customFormat="1" ht="14.25">
      <c r="A31" s="189" t="s">
        <v>215</v>
      </c>
      <c r="B31" s="190"/>
      <c r="C31" s="191"/>
      <c r="D31" s="163"/>
      <c r="K31" s="159"/>
      <c r="O31" s="159"/>
    </row>
    <row r="32" spans="1:16" s="158" customFormat="1" ht="13.5" customHeight="1">
      <c r="A32" s="186"/>
      <c r="B32" s="187"/>
      <c r="C32" s="188"/>
      <c r="D32" s="168"/>
    </row>
    <row r="33" spans="1:17" s="158" customFormat="1" ht="14.25">
      <c r="A33" s="189" t="s">
        <v>216</v>
      </c>
      <c r="B33" s="190"/>
      <c r="C33" s="191"/>
      <c r="D33" s="163"/>
      <c r="K33" s="159"/>
      <c r="O33" s="159"/>
    </row>
    <row r="34" spans="1:17" s="158" customFormat="1" ht="21" customHeight="1">
      <c r="A34" s="186"/>
      <c r="B34" s="187"/>
      <c r="C34" s="188"/>
      <c r="D34" s="167"/>
    </row>
    <row r="35" spans="1:17" s="158" customFormat="1" ht="13.5" customHeight="1">
      <c r="K35" s="159"/>
      <c r="O35" s="159"/>
    </row>
    <row r="36" spans="1:17" s="169" customFormat="1" ht="14.25">
      <c r="A36" s="169" t="s">
        <v>317</v>
      </c>
    </row>
    <row r="37" spans="1:17" s="170" customFormat="1">
      <c r="A37" s="170" t="s">
        <v>318</v>
      </c>
    </row>
    <row r="38" spans="1:17" s="170" customFormat="1">
      <c r="A38" s="170" t="s">
        <v>600</v>
      </c>
    </row>
    <row r="39" spans="1:17" s="170" customFormat="1">
      <c r="B39" s="170" t="s">
        <v>320</v>
      </c>
    </row>
    <row r="40" spans="1:17" s="170" customFormat="1">
      <c r="B40" s="170" t="s">
        <v>321</v>
      </c>
    </row>
    <row r="41" spans="1:17" s="170" customFormat="1">
      <c r="A41" s="170" t="s">
        <v>359</v>
      </c>
    </row>
    <row r="42" spans="1:17" s="170" customFormat="1">
      <c r="A42" s="170" t="s">
        <v>516</v>
      </c>
    </row>
    <row r="43" spans="1:17" s="170" customFormat="1">
      <c r="A43" s="170" t="s">
        <v>363</v>
      </c>
    </row>
    <row r="44" spans="1:17" s="170" customFormat="1"/>
    <row r="46" spans="1:17" s="1" customFormat="1" ht="13.5" customHeight="1">
      <c r="A46" s="155" t="s">
        <v>16</v>
      </c>
      <c r="B46" s="155" t="s">
        <v>341</v>
      </c>
      <c r="C46" s="63" t="s">
        <v>217</v>
      </c>
      <c r="D46" s="156" t="s">
        <v>340</v>
      </c>
      <c r="M46" s="51"/>
      <c r="Q46" s="51"/>
    </row>
    <row r="47" spans="1:17" s="1" customFormat="1" ht="14.25">
      <c r="A47" s="52">
        <v>4</v>
      </c>
      <c r="B47" s="53" t="s">
        <v>218</v>
      </c>
      <c r="C47" s="54" t="s">
        <v>347</v>
      </c>
      <c r="D47" s="162"/>
      <c r="M47" s="51"/>
      <c r="Q47" s="51"/>
    </row>
    <row r="48" spans="1:17" s="1" customFormat="1" ht="14.25">
      <c r="A48" s="196" t="s">
        <v>16</v>
      </c>
      <c r="B48" s="196" t="s">
        <v>17</v>
      </c>
      <c r="C48" s="65" t="s">
        <v>18</v>
      </c>
      <c r="D48" s="64"/>
      <c r="K48" s="51"/>
      <c r="O48" s="51"/>
    </row>
    <row r="49" spans="1:16" s="1" customFormat="1" ht="14.25">
      <c r="A49" s="197"/>
      <c r="B49" s="197"/>
      <c r="C49" s="64" t="s">
        <v>19</v>
      </c>
      <c r="D49" s="66"/>
      <c r="L49" s="51"/>
      <c r="P49" s="51"/>
    </row>
    <row r="50" spans="1:16" s="1" customFormat="1" ht="14.25">
      <c r="A50" s="55">
        <v>1</v>
      </c>
      <c r="B50" s="35" t="s">
        <v>86</v>
      </c>
      <c r="C50" s="56" t="s">
        <v>222</v>
      </c>
      <c r="D50" s="57"/>
    </row>
    <row r="51" spans="1:16" s="1" customFormat="1" ht="14.25">
      <c r="A51" s="55">
        <v>2</v>
      </c>
      <c r="B51" s="35" t="s">
        <v>73</v>
      </c>
      <c r="C51" s="56" t="s">
        <v>223</v>
      </c>
      <c r="D51" s="36"/>
    </row>
    <row r="52" spans="1:16" s="1" customFormat="1" ht="14.25">
      <c r="A52" s="55">
        <v>3</v>
      </c>
      <c r="B52" s="35" t="s">
        <v>87</v>
      </c>
      <c r="C52" s="56" t="s">
        <v>224</v>
      </c>
      <c r="D52" s="36"/>
      <c r="L52" s="51"/>
      <c r="P52" s="51"/>
    </row>
    <row r="53" spans="1:16" s="1" customFormat="1" ht="14.25">
      <c r="A53" s="55">
        <v>4</v>
      </c>
      <c r="B53" s="35" t="s">
        <v>88</v>
      </c>
      <c r="C53" s="56" t="s">
        <v>225</v>
      </c>
      <c r="D53" s="57"/>
      <c r="L53" s="51"/>
      <c r="P53" s="51"/>
    </row>
    <row r="54" spans="1:16" s="1" customFormat="1" ht="14.25">
      <c r="A54" s="55">
        <v>5</v>
      </c>
      <c r="B54" s="35" t="s">
        <v>74</v>
      </c>
      <c r="C54" s="56" t="s">
        <v>434</v>
      </c>
      <c r="D54" s="36"/>
      <c r="L54" s="51"/>
      <c r="P54" s="51"/>
    </row>
    <row r="55" spans="1:16" s="1" customFormat="1" ht="14.25">
      <c r="A55" s="55">
        <v>6</v>
      </c>
      <c r="B55" s="58" t="s">
        <v>75</v>
      </c>
      <c r="C55" s="56" t="s">
        <v>606</v>
      </c>
      <c r="D55" s="57"/>
      <c r="L55" s="51"/>
      <c r="P55" s="51"/>
    </row>
    <row r="56" spans="1:16" s="1" customFormat="1" ht="14.25">
      <c r="A56" s="55">
        <v>7</v>
      </c>
      <c r="B56" s="58" t="s">
        <v>21</v>
      </c>
      <c r="C56" s="56" t="s">
        <v>226</v>
      </c>
      <c r="D56" s="36"/>
      <c r="L56" s="51"/>
      <c r="P56" s="51"/>
    </row>
    <row r="57" spans="1:16" s="1" customFormat="1" ht="14.25">
      <c r="A57" s="55">
        <v>8</v>
      </c>
      <c r="B57" s="35" t="s">
        <v>20</v>
      </c>
      <c r="C57" s="56" t="s">
        <v>220</v>
      </c>
      <c r="D57" s="57"/>
    </row>
    <row r="58" spans="1:16" s="1" customFormat="1" ht="14.25">
      <c r="A58" s="55">
        <v>9</v>
      </c>
      <c r="B58" s="35" t="s">
        <v>76</v>
      </c>
      <c r="C58" s="56" t="s">
        <v>227</v>
      </c>
      <c r="D58" s="36"/>
    </row>
    <row r="59" spans="1:16" s="1" customFormat="1" ht="19.5" customHeight="1">
      <c r="A59" s="55">
        <v>10</v>
      </c>
      <c r="B59" s="35" t="s">
        <v>24</v>
      </c>
      <c r="C59" s="181" t="s">
        <v>385</v>
      </c>
      <c r="D59" s="36"/>
      <c r="L59" s="51"/>
      <c r="P59" s="51"/>
    </row>
    <row r="60" spans="1:16" s="1" customFormat="1" ht="14.25">
      <c r="A60" s="55">
        <v>11</v>
      </c>
      <c r="B60" s="35" t="s">
        <v>92</v>
      </c>
      <c r="C60" s="181" t="s">
        <v>386</v>
      </c>
      <c r="D60" s="57"/>
      <c r="L60" s="51"/>
      <c r="P60" s="51"/>
    </row>
    <row r="61" spans="1:16" s="1" customFormat="1" ht="14.25">
      <c r="A61" s="55">
        <v>12</v>
      </c>
      <c r="B61" s="35" t="s">
        <v>23</v>
      </c>
      <c r="C61" s="56" t="s">
        <v>221</v>
      </c>
      <c r="D61" s="36"/>
      <c r="L61" s="51"/>
      <c r="P61" s="51"/>
    </row>
    <row r="62" spans="1:16" s="1" customFormat="1" ht="14.25">
      <c r="A62" s="55">
        <v>13</v>
      </c>
      <c r="B62" s="58" t="s">
        <v>25</v>
      </c>
      <c r="C62" s="181" t="s">
        <v>387</v>
      </c>
      <c r="D62" s="57"/>
      <c r="L62" s="51"/>
      <c r="P62" s="51"/>
    </row>
    <row r="63" spans="1:16" s="1" customFormat="1" ht="14.25">
      <c r="A63" s="55">
        <v>14</v>
      </c>
      <c r="B63" s="58" t="s">
        <v>26</v>
      </c>
      <c r="C63" s="181" t="s">
        <v>388</v>
      </c>
      <c r="D63" s="36"/>
      <c r="L63" s="51"/>
      <c r="P63" s="51"/>
    </row>
    <row r="64" spans="1:16" s="1" customFormat="1" ht="14.25">
      <c r="A64" s="55">
        <v>15</v>
      </c>
      <c r="B64" s="35" t="s">
        <v>27</v>
      </c>
      <c r="C64" s="181" t="s">
        <v>389</v>
      </c>
      <c r="D64" s="57"/>
    </row>
    <row r="65" spans="1:16" s="1" customFormat="1" ht="14.25">
      <c r="A65" s="55">
        <v>16</v>
      </c>
      <c r="B65" s="35" t="s">
        <v>28</v>
      </c>
      <c r="C65" s="181" t="s">
        <v>390</v>
      </c>
      <c r="D65" s="36"/>
    </row>
    <row r="66" spans="1:16" s="1" customFormat="1" ht="14.25">
      <c r="A66" s="55">
        <v>17</v>
      </c>
      <c r="B66" s="35" t="s">
        <v>29</v>
      </c>
      <c r="C66" s="181" t="s">
        <v>391</v>
      </c>
      <c r="D66" s="36"/>
      <c r="L66" s="51"/>
      <c r="P66" s="51"/>
    </row>
    <row r="67" spans="1:16" s="1" customFormat="1" ht="14.25">
      <c r="A67" s="55">
        <v>18</v>
      </c>
      <c r="B67" s="35" t="s">
        <v>30</v>
      </c>
      <c r="C67" s="181" t="s">
        <v>392</v>
      </c>
      <c r="D67" s="57"/>
      <c r="L67" s="51"/>
      <c r="P67" s="51"/>
    </row>
    <row r="68" spans="1:16" s="1" customFormat="1" ht="14.25">
      <c r="A68" s="55">
        <v>19</v>
      </c>
      <c r="B68" s="35" t="s">
        <v>31</v>
      </c>
      <c r="C68" s="181" t="s">
        <v>393</v>
      </c>
      <c r="D68" s="36"/>
      <c r="L68" s="51"/>
      <c r="P68" s="51"/>
    </row>
    <row r="69" spans="1:16" s="1" customFormat="1" ht="14.25">
      <c r="A69" s="55">
        <v>20</v>
      </c>
      <c r="B69" s="58" t="s">
        <v>32</v>
      </c>
      <c r="C69" s="181" t="s">
        <v>394</v>
      </c>
      <c r="D69" s="57"/>
      <c r="L69" s="51"/>
      <c r="P69" s="51"/>
    </row>
    <row r="70" spans="1:16" s="1" customFormat="1" ht="14.25">
      <c r="A70" s="55">
        <v>21</v>
      </c>
      <c r="B70" s="58" t="s">
        <v>33</v>
      </c>
      <c r="C70" s="181" t="s">
        <v>395</v>
      </c>
      <c r="D70" s="36"/>
      <c r="L70" s="51"/>
      <c r="P70" s="51"/>
    </row>
    <row r="71" spans="1:16" s="1" customFormat="1" ht="14.25">
      <c r="A71" s="55">
        <v>22</v>
      </c>
      <c r="B71" s="58" t="s">
        <v>34</v>
      </c>
      <c r="C71" s="181" t="s">
        <v>396</v>
      </c>
      <c r="D71" s="36"/>
      <c r="E71" s="49"/>
      <c r="L71" s="51"/>
      <c r="P71" s="51"/>
    </row>
    <row r="72" spans="1:16" s="1" customFormat="1" ht="13.9" customHeight="1">
      <c r="A72" s="55">
        <v>23</v>
      </c>
      <c r="B72" s="61" t="s">
        <v>35</v>
      </c>
      <c r="C72" s="181" t="s">
        <v>397</v>
      </c>
      <c r="D72" s="61"/>
      <c r="K72" s="51"/>
      <c r="O72" s="51"/>
    </row>
    <row r="73" spans="1:16" s="60" customFormat="1" ht="14.25">
      <c r="A73" s="55">
        <v>24</v>
      </c>
      <c r="B73" s="62" t="s">
        <v>36</v>
      </c>
      <c r="C73" s="181" t="s">
        <v>398</v>
      </c>
      <c r="D73" s="62"/>
    </row>
    <row r="74" spans="1:16" s="60" customFormat="1" ht="14.25">
      <c r="A74" s="55">
        <v>25</v>
      </c>
      <c r="B74" s="62" t="s">
        <v>37</v>
      </c>
      <c r="C74" s="181" t="s">
        <v>399</v>
      </c>
      <c r="D74" s="62"/>
    </row>
    <row r="75" spans="1:16" s="60" customFormat="1" ht="14.25">
      <c r="A75" s="55">
        <v>26</v>
      </c>
      <c r="B75" s="62" t="s">
        <v>38</v>
      </c>
      <c r="C75" s="181" t="s">
        <v>400</v>
      </c>
      <c r="D75" s="62"/>
    </row>
    <row r="76" spans="1:16" s="60" customFormat="1" ht="14.25">
      <c r="A76" s="55">
        <v>27</v>
      </c>
      <c r="B76" s="62" t="s">
        <v>39</v>
      </c>
      <c r="C76" s="181" t="s">
        <v>401</v>
      </c>
      <c r="D76" s="62"/>
    </row>
    <row r="77" spans="1:16" s="60" customFormat="1" ht="14.25">
      <c r="A77" s="55">
        <v>28</v>
      </c>
      <c r="B77" s="62" t="s">
        <v>40</v>
      </c>
      <c r="C77" s="181" t="s">
        <v>402</v>
      </c>
      <c r="D77" s="62"/>
    </row>
    <row r="78" spans="1:16" s="60" customFormat="1" ht="14.25">
      <c r="A78" s="55">
        <v>29</v>
      </c>
      <c r="B78" s="62" t="s">
        <v>41</v>
      </c>
      <c r="C78" s="181" t="s">
        <v>403</v>
      </c>
      <c r="D78" s="62"/>
    </row>
    <row r="79" spans="1:16" s="60" customFormat="1" ht="14.25">
      <c r="A79" s="55">
        <v>30</v>
      </c>
      <c r="B79" s="62" t="s">
        <v>42</v>
      </c>
      <c r="C79" s="181" t="s">
        <v>404</v>
      </c>
      <c r="D79" s="62"/>
    </row>
    <row r="80" spans="1:16" s="60" customFormat="1" ht="14.25">
      <c r="A80" s="55">
        <v>31</v>
      </c>
      <c r="B80" s="62" t="s">
        <v>43</v>
      </c>
      <c r="C80" s="181" t="s">
        <v>405</v>
      </c>
      <c r="D80" s="62"/>
    </row>
    <row r="81" spans="1:4" s="60" customFormat="1" ht="14.25">
      <c r="A81" s="55">
        <v>32</v>
      </c>
      <c r="B81" s="62" t="s">
        <v>44</v>
      </c>
      <c r="C81" s="181" t="s">
        <v>406</v>
      </c>
      <c r="D81" s="62"/>
    </row>
    <row r="82" spans="1:4" s="60" customFormat="1" ht="14.25">
      <c r="A82" s="55">
        <v>33</v>
      </c>
      <c r="B82" s="62" t="s">
        <v>45</v>
      </c>
      <c r="C82" s="181" t="s">
        <v>407</v>
      </c>
      <c r="D82" s="62"/>
    </row>
    <row r="83" spans="1:4" s="60" customFormat="1" ht="14.25">
      <c r="A83" s="55">
        <v>34</v>
      </c>
      <c r="B83" s="62" t="s">
        <v>46</v>
      </c>
      <c r="C83" s="181" t="s">
        <v>408</v>
      </c>
      <c r="D83" s="62"/>
    </row>
    <row r="84" spans="1:4" s="60" customFormat="1" ht="14.25">
      <c r="A84" s="55">
        <v>35</v>
      </c>
      <c r="B84" s="62" t="s">
        <v>47</v>
      </c>
      <c r="C84" s="181" t="s">
        <v>409</v>
      </c>
      <c r="D84" s="62"/>
    </row>
    <row r="85" spans="1:4" s="60" customFormat="1" ht="14.25">
      <c r="A85" s="55">
        <v>36</v>
      </c>
      <c r="B85" s="62" t="s">
        <v>48</v>
      </c>
      <c r="C85" s="181" t="s">
        <v>410</v>
      </c>
      <c r="D85" s="62"/>
    </row>
    <row r="86" spans="1:4" s="60" customFormat="1" ht="14.25">
      <c r="A86" s="55">
        <v>37</v>
      </c>
      <c r="B86" s="62" t="s">
        <v>49</v>
      </c>
      <c r="C86" s="181" t="s">
        <v>411</v>
      </c>
      <c r="D86" s="62"/>
    </row>
    <row r="87" spans="1:4" s="60" customFormat="1" ht="14.25">
      <c r="A87" s="55">
        <v>38</v>
      </c>
      <c r="B87" s="62" t="s">
        <v>50</v>
      </c>
      <c r="C87" s="181" t="s">
        <v>412</v>
      </c>
      <c r="D87" s="62"/>
    </row>
    <row r="88" spans="1:4" s="60" customFormat="1" ht="14.25">
      <c r="A88" s="55">
        <v>39</v>
      </c>
      <c r="B88" s="62" t="s">
        <v>51</v>
      </c>
      <c r="C88" s="181" t="s">
        <v>413</v>
      </c>
      <c r="D88" s="62"/>
    </row>
    <row r="89" spans="1:4" s="60" customFormat="1" ht="14.25">
      <c r="A89" s="55">
        <v>40</v>
      </c>
      <c r="B89" s="62" t="s">
        <v>52</v>
      </c>
      <c r="C89" s="181" t="s">
        <v>414</v>
      </c>
      <c r="D89" s="62"/>
    </row>
    <row r="90" spans="1:4" s="60" customFormat="1" ht="14.25">
      <c r="A90" s="55">
        <v>41</v>
      </c>
      <c r="B90" s="62" t="s">
        <v>53</v>
      </c>
      <c r="C90" s="181" t="s">
        <v>415</v>
      </c>
      <c r="D90" s="62"/>
    </row>
    <row r="91" spans="1:4" s="60" customFormat="1" ht="14.25">
      <c r="A91" s="55">
        <v>42</v>
      </c>
      <c r="B91" s="62" t="s">
        <v>54</v>
      </c>
      <c r="C91" s="181" t="s">
        <v>416</v>
      </c>
      <c r="D91" s="62"/>
    </row>
    <row r="92" spans="1:4" s="60" customFormat="1" ht="14.25">
      <c r="A92" s="55">
        <v>43</v>
      </c>
      <c r="B92" s="62" t="s">
        <v>55</v>
      </c>
      <c r="C92" s="181" t="s">
        <v>417</v>
      </c>
      <c r="D92" s="62"/>
    </row>
    <row r="93" spans="1:4" s="60" customFormat="1" ht="14.25">
      <c r="A93" s="55">
        <v>44</v>
      </c>
      <c r="B93" s="62" t="s">
        <v>56</v>
      </c>
      <c r="C93" s="181" t="s">
        <v>418</v>
      </c>
      <c r="D93" s="62"/>
    </row>
    <row r="94" spans="1:4" s="60" customFormat="1" ht="14.25">
      <c r="A94" s="55">
        <v>45</v>
      </c>
      <c r="B94" s="62" t="s">
        <v>57</v>
      </c>
      <c r="C94" s="181" t="s">
        <v>419</v>
      </c>
      <c r="D94" s="62"/>
    </row>
    <row r="95" spans="1:4" s="60" customFormat="1" ht="14.25">
      <c r="A95" s="55">
        <v>46</v>
      </c>
      <c r="B95" s="62" t="s">
        <v>58</v>
      </c>
      <c r="C95" s="181" t="s">
        <v>420</v>
      </c>
      <c r="D95" s="62"/>
    </row>
    <row r="96" spans="1:4" s="60" customFormat="1" ht="14.25">
      <c r="A96" s="55">
        <v>47</v>
      </c>
      <c r="B96" s="62" t="s">
        <v>59</v>
      </c>
      <c r="C96" s="181" t="s">
        <v>421</v>
      </c>
      <c r="D96" s="62"/>
    </row>
    <row r="97" spans="1:4" s="60" customFormat="1" ht="14.25">
      <c r="A97" s="55">
        <v>48</v>
      </c>
      <c r="B97" s="62" t="s">
        <v>60</v>
      </c>
      <c r="C97" s="181" t="s">
        <v>422</v>
      </c>
      <c r="D97" s="62"/>
    </row>
    <row r="98" spans="1:4" s="60" customFormat="1" ht="14.25">
      <c r="A98" s="55">
        <v>49</v>
      </c>
      <c r="B98" s="62" t="s">
        <v>61</v>
      </c>
      <c r="C98" s="181" t="s">
        <v>423</v>
      </c>
      <c r="D98" s="62"/>
    </row>
    <row r="99" spans="1:4" s="60" customFormat="1" ht="14.25">
      <c r="A99" s="55">
        <v>50</v>
      </c>
      <c r="B99" s="62" t="s">
        <v>62</v>
      </c>
      <c r="C99" s="181" t="s">
        <v>436</v>
      </c>
      <c r="D99" s="62"/>
    </row>
    <row r="100" spans="1:4" s="60" customFormat="1" ht="14.25">
      <c r="A100" s="55">
        <v>51</v>
      </c>
      <c r="B100" s="62" t="s">
        <v>63</v>
      </c>
      <c r="C100" s="181" t="s">
        <v>424</v>
      </c>
      <c r="D100" s="62"/>
    </row>
    <row r="101" spans="1:4" s="60" customFormat="1" ht="14.25">
      <c r="A101" s="55">
        <v>52</v>
      </c>
      <c r="B101" s="62" t="s">
        <v>64</v>
      </c>
      <c r="C101" s="181" t="s">
        <v>425</v>
      </c>
      <c r="D101" s="62"/>
    </row>
    <row r="102" spans="1:4" s="60" customFormat="1" ht="14.25">
      <c r="A102" s="55">
        <v>53</v>
      </c>
      <c r="B102" s="62" t="s">
        <v>65</v>
      </c>
      <c r="C102" s="181" t="s">
        <v>426</v>
      </c>
      <c r="D102" s="62"/>
    </row>
    <row r="103" spans="1:4" s="60" customFormat="1" ht="14.25">
      <c r="A103" s="55">
        <v>54</v>
      </c>
      <c r="B103" s="62" t="s">
        <v>66</v>
      </c>
      <c r="C103" s="181" t="s">
        <v>427</v>
      </c>
      <c r="D103" s="62"/>
    </row>
    <row r="104" spans="1:4" s="60" customFormat="1" ht="14.25">
      <c r="A104" s="55">
        <v>55</v>
      </c>
      <c r="B104" s="62" t="s">
        <v>67</v>
      </c>
      <c r="C104" s="181" t="s">
        <v>428</v>
      </c>
      <c r="D104" s="62"/>
    </row>
    <row r="105" spans="1:4" s="60" customFormat="1" ht="14.25">
      <c r="A105" s="55">
        <v>56</v>
      </c>
      <c r="B105" s="62" t="s">
        <v>68</v>
      </c>
      <c r="C105" s="181" t="s">
        <v>429</v>
      </c>
      <c r="D105" s="62"/>
    </row>
    <row r="106" spans="1:4" s="60" customFormat="1" ht="14.25">
      <c r="A106" s="55">
        <v>57</v>
      </c>
      <c r="B106" s="62" t="s">
        <v>69</v>
      </c>
      <c r="C106" s="181" t="s">
        <v>430</v>
      </c>
      <c r="D106" s="62"/>
    </row>
    <row r="107" spans="1:4" s="60" customFormat="1" ht="14.25">
      <c r="A107" s="55">
        <v>58</v>
      </c>
      <c r="B107" s="62" t="s">
        <v>70</v>
      </c>
      <c r="C107" s="181" t="s">
        <v>431</v>
      </c>
      <c r="D107" s="62"/>
    </row>
    <row r="108" spans="1:4" s="60" customFormat="1" ht="14.25">
      <c r="A108" s="55">
        <v>59</v>
      </c>
      <c r="B108" s="62" t="s">
        <v>71</v>
      </c>
      <c r="C108" s="181" t="s">
        <v>432</v>
      </c>
      <c r="D108" s="62"/>
    </row>
    <row r="109" spans="1:4" s="60" customFormat="1" ht="14.25">
      <c r="A109" s="55">
        <v>60</v>
      </c>
      <c r="B109" s="62" t="s">
        <v>72</v>
      </c>
      <c r="C109" s="181" t="s">
        <v>433</v>
      </c>
      <c r="D109" s="62"/>
    </row>
    <row r="110" spans="1:4" s="60" customFormat="1" ht="14.25">
      <c r="A110" s="55">
        <v>61</v>
      </c>
      <c r="B110" s="62" t="s">
        <v>77</v>
      </c>
      <c r="C110" s="62" t="s">
        <v>90</v>
      </c>
      <c r="D110" s="62" t="s">
        <v>91</v>
      </c>
    </row>
    <row r="111" spans="1:4" s="60" customFormat="1" ht="14.25">
      <c r="A111" s="55">
        <v>62</v>
      </c>
      <c r="B111" s="62" t="s">
        <v>78</v>
      </c>
      <c r="C111" s="62" t="s">
        <v>587</v>
      </c>
      <c r="D111" s="62"/>
    </row>
    <row r="112" spans="1:4" s="60" customFormat="1" ht="14.25">
      <c r="A112" s="55">
        <v>63</v>
      </c>
      <c r="B112" s="62" t="s">
        <v>79</v>
      </c>
      <c r="C112" s="62" t="s">
        <v>373</v>
      </c>
      <c r="D112" s="62"/>
    </row>
    <row r="113" spans="1:15" s="60" customFormat="1" ht="14.25">
      <c r="A113" s="55">
        <v>64</v>
      </c>
      <c r="B113" s="62" t="s">
        <v>80</v>
      </c>
      <c r="C113" s="62" t="s">
        <v>586</v>
      </c>
      <c r="D113" s="62" t="s">
        <v>375</v>
      </c>
    </row>
    <row r="114" spans="1:15" s="60" customFormat="1" ht="14.25">
      <c r="A114" s="55">
        <v>65</v>
      </c>
      <c r="B114" s="62" t="s">
        <v>81</v>
      </c>
      <c r="C114" s="62" t="s">
        <v>373</v>
      </c>
      <c r="D114" s="62" t="s">
        <v>375</v>
      </c>
    </row>
    <row r="115" spans="1:15" s="60" customFormat="1" ht="14.25">
      <c r="A115" s="55">
        <v>66</v>
      </c>
      <c r="B115" s="62" t="s">
        <v>82</v>
      </c>
      <c r="C115" s="62" t="s">
        <v>89</v>
      </c>
      <c r="D115" s="62"/>
    </row>
    <row r="116" spans="1:15" s="60" customFormat="1" ht="14.25">
      <c r="A116" s="55">
        <v>67</v>
      </c>
      <c r="B116" s="62" t="s">
        <v>83</v>
      </c>
      <c r="C116" s="56" t="s">
        <v>232</v>
      </c>
      <c r="D116" s="62"/>
    </row>
    <row r="117" spans="1:15" s="60" customFormat="1" ht="14.25">
      <c r="A117" s="55">
        <v>68</v>
      </c>
      <c r="B117" s="62" t="s">
        <v>84</v>
      </c>
      <c r="C117" s="62" t="s">
        <v>228</v>
      </c>
      <c r="D117" s="62"/>
    </row>
    <row r="118" spans="1:15" s="60" customFormat="1" ht="14.25">
      <c r="A118" s="55">
        <v>69</v>
      </c>
      <c r="B118" s="62" t="s">
        <v>85</v>
      </c>
      <c r="C118" s="62" t="s">
        <v>229</v>
      </c>
      <c r="D118" s="62"/>
    </row>
    <row r="119" spans="1:15" s="158" customFormat="1" ht="14.25">
      <c r="A119" s="155" t="s">
        <v>212</v>
      </c>
      <c r="B119" s="155"/>
      <c r="C119" s="177" t="s">
        <v>213</v>
      </c>
      <c r="D119" s="163"/>
    </row>
    <row r="120" spans="1:15" s="158" customFormat="1" ht="14.25">
      <c r="A120" s="192" t="s">
        <v>342</v>
      </c>
      <c r="B120" s="188"/>
      <c r="C120" s="171" t="s">
        <v>343</v>
      </c>
      <c r="D120" s="167" t="s">
        <v>570</v>
      </c>
      <c r="K120" s="159"/>
      <c r="O120" s="159"/>
    </row>
    <row r="121" spans="1:15" s="158" customFormat="1" ht="14.25">
      <c r="A121" s="192" t="s">
        <v>439</v>
      </c>
      <c r="B121" s="188"/>
      <c r="C121" s="171" t="s">
        <v>343</v>
      </c>
      <c r="D121" s="167"/>
      <c r="K121" s="159"/>
      <c r="O121" s="159"/>
    </row>
    <row r="122" spans="1:15" s="158" customFormat="1" ht="28.5">
      <c r="A122" s="192" t="s">
        <v>345</v>
      </c>
      <c r="B122" s="188"/>
      <c r="C122" s="171" t="s">
        <v>575</v>
      </c>
      <c r="D122" s="167"/>
      <c r="K122" s="159"/>
      <c r="O122" s="159"/>
    </row>
    <row r="123" spans="1:15" s="158" customFormat="1" ht="14.25">
      <c r="A123" s="192" t="s">
        <v>435</v>
      </c>
      <c r="B123" s="188"/>
      <c r="C123" s="171" t="s">
        <v>440</v>
      </c>
      <c r="D123" s="167"/>
      <c r="K123" s="159"/>
      <c r="O123" s="159"/>
    </row>
    <row r="124" spans="1:15" s="158" customFormat="1" ht="71.25">
      <c r="A124" s="192" t="s">
        <v>437</v>
      </c>
      <c r="B124" s="188"/>
      <c r="C124" s="171" t="s">
        <v>603</v>
      </c>
      <c r="D124" s="167"/>
      <c r="K124" s="159"/>
      <c r="O124" s="159"/>
    </row>
    <row r="125" spans="1:15" s="158" customFormat="1" ht="28.5">
      <c r="A125" s="192" t="s">
        <v>438</v>
      </c>
      <c r="B125" s="188"/>
      <c r="C125" s="171" t="s">
        <v>576</v>
      </c>
      <c r="D125" s="167"/>
      <c r="K125" s="159"/>
      <c r="O125" s="159"/>
    </row>
    <row r="126" spans="1:15" s="158" customFormat="1" ht="14.25">
      <c r="A126" s="189" t="s">
        <v>214</v>
      </c>
      <c r="B126" s="190"/>
      <c r="C126" s="191"/>
      <c r="D126" s="163"/>
      <c r="K126" s="159"/>
      <c r="O126" s="159"/>
    </row>
    <row r="127" spans="1:15" s="158" customFormat="1" ht="14.25">
      <c r="A127" s="186" t="s">
        <v>517</v>
      </c>
      <c r="B127" s="187"/>
      <c r="C127" s="188"/>
      <c r="D127" s="167"/>
      <c r="K127" s="159"/>
      <c r="O127" s="159"/>
    </row>
    <row r="128" spans="1:15" s="158" customFormat="1" ht="14.25">
      <c r="A128" s="189" t="s">
        <v>215</v>
      </c>
      <c r="B128" s="190"/>
      <c r="C128" s="191"/>
      <c r="D128" s="163"/>
      <c r="K128" s="159"/>
      <c r="O128" s="159"/>
    </row>
    <row r="129" spans="1:15" s="158" customFormat="1" ht="13.5" customHeight="1">
      <c r="A129" s="186" t="s">
        <v>343</v>
      </c>
      <c r="B129" s="187"/>
      <c r="C129" s="188"/>
      <c r="D129" s="168"/>
    </row>
    <row r="130" spans="1:15" s="158" customFormat="1" ht="14.25">
      <c r="A130" s="189" t="s">
        <v>216</v>
      </c>
      <c r="B130" s="190"/>
      <c r="C130" s="191"/>
      <c r="D130" s="163"/>
      <c r="K130" s="159"/>
      <c r="O130" s="159"/>
    </row>
    <row r="131" spans="1:15" s="158" customFormat="1" ht="21" customHeight="1">
      <c r="A131" s="186" t="s">
        <v>343</v>
      </c>
      <c r="B131" s="187"/>
      <c r="C131" s="188"/>
      <c r="D131" s="167"/>
    </row>
    <row r="133" spans="1:15">
      <c r="A133" s="59" t="s">
        <v>239</v>
      </c>
      <c r="B133" s="60"/>
    </row>
    <row r="134" spans="1:15">
      <c r="A134" s="59" t="s">
        <v>230</v>
      </c>
      <c r="B134" s="59" t="s">
        <v>235</v>
      </c>
    </row>
    <row r="135" spans="1:15">
      <c r="B135" s="59" t="s">
        <v>236</v>
      </c>
    </row>
    <row r="136" spans="1:15">
      <c r="B136" s="59" t="s">
        <v>237</v>
      </c>
    </row>
    <row r="137" spans="1:15">
      <c r="B137" s="59" t="s">
        <v>238</v>
      </c>
    </row>
    <row r="138" spans="1:15">
      <c r="B138" s="59" t="s">
        <v>240</v>
      </c>
    </row>
    <row r="139" spans="1:15">
      <c r="B139" s="59" t="s">
        <v>241</v>
      </c>
    </row>
    <row r="140" spans="1:15">
      <c r="B140" s="59" t="s">
        <v>242</v>
      </c>
    </row>
    <row r="141" spans="1:15">
      <c r="B141" s="59" t="s">
        <v>243</v>
      </c>
    </row>
    <row r="142" spans="1:15">
      <c r="B142" s="59" t="s">
        <v>244</v>
      </c>
    </row>
    <row r="143" spans="1:15">
      <c r="B143" s="59" t="s">
        <v>245</v>
      </c>
    </row>
    <row r="144" spans="1:15">
      <c r="B144" s="59" t="s">
        <v>246</v>
      </c>
    </row>
    <row r="145" spans="2:2">
      <c r="B145" s="59" t="s">
        <v>247</v>
      </c>
    </row>
    <row r="146" spans="2:2">
      <c r="B146" s="59" t="s">
        <v>248</v>
      </c>
    </row>
    <row r="147" spans="2:2">
      <c r="B147" s="59" t="s">
        <v>249</v>
      </c>
    </row>
    <row r="148" spans="2:2">
      <c r="B148" s="59" t="s">
        <v>250</v>
      </c>
    </row>
    <row r="149" spans="2:2">
      <c r="B149" s="59" t="s">
        <v>251</v>
      </c>
    </row>
    <row r="150" spans="2:2">
      <c r="B150" s="59" t="s">
        <v>252</v>
      </c>
    </row>
    <row r="151" spans="2:2">
      <c r="B151" s="59" t="s">
        <v>253</v>
      </c>
    </row>
    <row r="152" spans="2:2">
      <c r="B152" s="59" t="s">
        <v>254</v>
      </c>
    </row>
    <row r="153" spans="2:2">
      <c r="B153" s="59" t="s">
        <v>255</v>
      </c>
    </row>
    <row r="154" spans="2:2">
      <c r="B154" s="59" t="s">
        <v>256</v>
      </c>
    </row>
    <row r="155" spans="2:2">
      <c r="B155" s="59" t="s">
        <v>257</v>
      </c>
    </row>
    <row r="156" spans="2:2">
      <c r="B156" s="59" t="s">
        <v>258</v>
      </c>
    </row>
    <row r="157" spans="2:2">
      <c r="B157" s="59" t="s">
        <v>259</v>
      </c>
    </row>
    <row r="158" spans="2:2">
      <c r="B158" s="59" t="s">
        <v>260</v>
      </c>
    </row>
    <row r="159" spans="2:2">
      <c r="B159" s="59" t="s">
        <v>261</v>
      </c>
    </row>
    <row r="160" spans="2:2">
      <c r="B160" s="59" t="s">
        <v>262</v>
      </c>
    </row>
    <row r="161" spans="2:2">
      <c r="B161" s="59" t="s">
        <v>263</v>
      </c>
    </row>
    <row r="162" spans="2:2">
      <c r="B162" s="59" t="s">
        <v>264</v>
      </c>
    </row>
    <row r="163" spans="2:2">
      <c r="B163" s="59" t="s">
        <v>265</v>
      </c>
    </row>
    <row r="164" spans="2:2">
      <c r="B164" s="59" t="s">
        <v>266</v>
      </c>
    </row>
    <row r="165" spans="2:2">
      <c r="B165" s="59" t="s">
        <v>267</v>
      </c>
    </row>
    <row r="166" spans="2:2">
      <c r="B166" s="59" t="s">
        <v>268</v>
      </c>
    </row>
    <row r="167" spans="2:2">
      <c r="B167" s="59" t="s">
        <v>269</v>
      </c>
    </row>
    <row r="168" spans="2:2">
      <c r="B168" s="59" t="s">
        <v>270</v>
      </c>
    </row>
    <row r="169" spans="2:2">
      <c r="B169" s="59" t="s">
        <v>271</v>
      </c>
    </row>
    <row r="170" spans="2:2">
      <c r="B170" s="59" t="s">
        <v>272</v>
      </c>
    </row>
    <row r="171" spans="2:2">
      <c r="B171" s="59" t="s">
        <v>273</v>
      </c>
    </row>
    <row r="172" spans="2:2">
      <c r="B172" s="59" t="s">
        <v>274</v>
      </c>
    </row>
    <row r="173" spans="2:2">
      <c r="B173" s="59" t="s">
        <v>275</v>
      </c>
    </row>
    <row r="174" spans="2:2">
      <c r="B174" s="59" t="s">
        <v>276</v>
      </c>
    </row>
    <row r="175" spans="2:2">
      <c r="B175" s="59" t="s">
        <v>277</v>
      </c>
    </row>
    <row r="176" spans="2:2">
      <c r="B176" s="59" t="s">
        <v>278</v>
      </c>
    </row>
    <row r="177" spans="2:2">
      <c r="B177" s="59" t="s">
        <v>279</v>
      </c>
    </row>
    <row r="178" spans="2:2">
      <c r="B178" s="59" t="s">
        <v>280</v>
      </c>
    </row>
    <row r="179" spans="2:2">
      <c r="B179" s="59" t="s">
        <v>281</v>
      </c>
    </row>
    <row r="180" spans="2:2">
      <c r="B180" s="59" t="s">
        <v>282</v>
      </c>
    </row>
    <row r="181" spans="2:2">
      <c r="B181" s="59" t="s">
        <v>283</v>
      </c>
    </row>
    <row r="182" spans="2:2">
      <c r="B182" s="59" t="s">
        <v>284</v>
      </c>
    </row>
    <row r="183" spans="2:2">
      <c r="B183" s="59" t="s">
        <v>285</v>
      </c>
    </row>
    <row r="184" spans="2:2">
      <c r="B184" s="59" t="s">
        <v>286</v>
      </c>
    </row>
    <row r="185" spans="2:2">
      <c r="B185" s="59" t="s">
        <v>287</v>
      </c>
    </row>
    <row r="186" spans="2:2">
      <c r="B186" s="59" t="s">
        <v>288</v>
      </c>
    </row>
    <row r="187" spans="2:2">
      <c r="B187" s="59" t="s">
        <v>289</v>
      </c>
    </row>
    <row r="188" spans="2:2">
      <c r="B188" s="59" t="s">
        <v>290</v>
      </c>
    </row>
    <row r="189" spans="2:2">
      <c r="B189" s="59" t="s">
        <v>291</v>
      </c>
    </row>
    <row r="190" spans="2:2">
      <c r="B190" s="59" t="s">
        <v>292</v>
      </c>
    </row>
    <row r="191" spans="2:2">
      <c r="B191" s="59" t="s">
        <v>293</v>
      </c>
    </row>
    <row r="192" spans="2:2">
      <c r="B192" s="59" t="s">
        <v>294</v>
      </c>
    </row>
    <row r="193" spans="1:2">
      <c r="B193" s="59" t="s">
        <v>295</v>
      </c>
    </row>
    <row r="194" spans="1:2">
      <c r="B194" s="59" t="s">
        <v>296</v>
      </c>
    </row>
    <row r="195" spans="1:2">
      <c r="B195" s="59" t="s">
        <v>297</v>
      </c>
    </row>
    <row r="196" spans="1:2">
      <c r="B196" s="59" t="s">
        <v>298</v>
      </c>
    </row>
    <row r="197" spans="1:2">
      <c r="B197" s="59" t="s">
        <v>299</v>
      </c>
    </row>
    <row r="198" spans="1:2">
      <c r="B198" s="59" t="s">
        <v>300</v>
      </c>
    </row>
    <row r="199" spans="1:2">
      <c r="B199" s="59" t="s">
        <v>301</v>
      </c>
    </row>
    <row r="200" spans="1:2">
      <c r="B200" s="59" t="s">
        <v>302</v>
      </c>
    </row>
    <row r="201" spans="1:2">
      <c r="B201" s="59" t="s">
        <v>303</v>
      </c>
    </row>
    <row r="202" spans="1:2">
      <c r="B202" s="59" t="s">
        <v>304</v>
      </c>
    </row>
    <row r="203" spans="1:2">
      <c r="A203" s="59" t="s">
        <v>305</v>
      </c>
    </row>
    <row r="204" spans="1:2">
      <c r="B204" s="59" t="s">
        <v>306</v>
      </c>
    </row>
    <row r="205" spans="1:2">
      <c r="B205" s="59" t="s">
        <v>307</v>
      </c>
    </row>
    <row r="206" spans="1:2">
      <c r="B206" s="59" t="s">
        <v>308</v>
      </c>
    </row>
    <row r="207" spans="1:2">
      <c r="B207" s="59" t="s">
        <v>491</v>
      </c>
    </row>
    <row r="208" spans="1:2">
      <c r="B208" s="59" t="s">
        <v>607</v>
      </c>
    </row>
    <row r="209" spans="2:2">
      <c r="B209" s="59" t="s">
        <v>309</v>
      </c>
    </row>
    <row r="210" spans="2:2">
      <c r="B210" s="59" t="s">
        <v>310</v>
      </c>
    </row>
    <row r="211" spans="2:2">
      <c r="B211" s="59" t="s">
        <v>311</v>
      </c>
    </row>
    <row r="212" spans="2:2">
      <c r="B212" s="59" t="s">
        <v>489</v>
      </c>
    </row>
    <row r="213" spans="2:2">
      <c r="B213" s="59" t="s">
        <v>490</v>
      </c>
    </row>
    <row r="214" spans="2:2">
      <c r="B214" s="59" t="s">
        <v>312</v>
      </c>
    </row>
    <row r="215" spans="2:2">
      <c r="B215" s="59" t="s">
        <v>441</v>
      </c>
    </row>
    <row r="216" spans="2:2">
      <c r="B216" s="59" t="s">
        <v>442</v>
      </c>
    </row>
    <row r="217" spans="2:2">
      <c r="B217" s="59" t="s">
        <v>443</v>
      </c>
    </row>
    <row r="218" spans="2:2">
      <c r="B218" s="59" t="s">
        <v>444</v>
      </c>
    </row>
    <row r="219" spans="2:2">
      <c r="B219" s="59" t="s">
        <v>445</v>
      </c>
    </row>
    <row r="220" spans="2:2">
      <c r="B220" s="59" t="s">
        <v>446</v>
      </c>
    </row>
    <row r="221" spans="2:2">
      <c r="B221" s="59" t="s">
        <v>447</v>
      </c>
    </row>
    <row r="222" spans="2:2">
      <c r="B222" s="59" t="s">
        <v>448</v>
      </c>
    </row>
    <row r="223" spans="2:2">
      <c r="B223" s="59" t="s">
        <v>449</v>
      </c>
    </row>
    <row r="224" spans="2:2">
      <c r="B224" s="59" t="s">
        <v>450</v>
      </c>
    </row>
    <row r="225" spans="2:2">
      <c r="B225" s="59" t="s">
        <v>451</v>
      </c>
    </row>
    <row r="226" spans="2:2">
      <c r="B226" s="59" t="s">
        <v>452</v>
      </c>
    </row>
    <row r="227" spans="2:2">
      <c r="B227" s="59" t="s">
        <v>453</v>
      </c>
    </row>
    <row r="228" spans="2:2">
      <c r="B228" s="59" t="s">
        <v>454</v>
      </c>
    </row>
    <row r="229" spans="2:2">
      <c r="B229" s="59" t="s">
        <v>455</v>
      </c>
    </row>
    <row r="230" spans="2:2">
      <c r="B230" s="59" t="s">
        <v>456</v>
      </c>
    </row>
    <row r="231" spans="2:2">
      <c r="B231" s="59" t="s">
        <v>457</v>
      </c>
    </row>
    <row r="232" spans="2:2">
      <c r="B232" s="59" t="s">
        <v>458</v>
      </c>
    </row>
    <row r="233" spans="2:2">
      <c r="B233" s="59" t="s">
        <v>459</v>
      </c>
    </row>
    <row r="234" spans="2:2">
      <c r="B234" s="59" t="s">
        <v>460</v>
      </c>
    </row>
    <row r="235" spans="2:2">
      <c r="B235" s="59" t="s">
        <v>461</v>
      </c>
    </row>
    <row r="236" spans="2:2">
      <c r="B236" s="59" t="s">
        <v>462</v>
      </c>
    </row>
    <row r="237" spans="2:2">
      <c r="B237" s="59" t="s">
        <v>463</v>
      </c>
    </row>
    <row r="238" spans="2:2">
      <c r="B238" s="59" t="s">
        <v>464</v>
      </c>
    </row>
    <row r="239" spans="2:2">
      <c r="B239" s="59" t="s">
        <v>465</v>
      </c>
    </row>
    <row r="240" spans="2:2">
      <c r="B240" s="59" t="s">
        <v>466</v>
      </c>
    </row>
    <row r="241" spans="2:2">
      <c r="B241" s="59" t="s">
        <v>467</v>
      </c>
    </row>
    <row r="242" spans="2:2">
      <c r="B242" s="59" t="s">
        <v>468</v>
      </c>
    </row>
    <row r="243" spans="2:2">
      <c r="B243" s="59" t="s">
        <v>469</v>
      </c>
    </row>
    <row r="244" spans="2:2">
      <c r="B244" s="59" t="s">
        <v>470</v>
      </c>
    </row>
    <row r="245" spans="2:2">
      <c r="B245" s="59" t="s">
        <v>471</v>
      </c>
    </row>
    <row r="246" spans="2:2">
      <c r="B246" s="59" t="s">
        <v>472</v>
      </c>
    </row>
    <row r="247" spans="2:2">
      <c r="B247" s="59" t="s">
        <v>473</v>
      </c>
    </row>
    <row r="248" spans="2:2">
      <c r="B248" s="59" t="s">
        <v>474</v>
      </c>
    </row>
    <row r="249" spans="2:2">
      <c r="B249" s="59" t="s">
        <v>475</v>
      </c>
    </row>
    <row r="250" spans="2:2">
      <c r="B250" s="59" t="s">
        <v>476</v>
      </c>
    </row>
    <row r="251" spans="2:2">
      <c r="B251" s="59" t="s">
        <v>477</v>
      </c>
    </row>
    <row r="252" spans="2:2">
      <c r="B252" s="59" t="s">
        <v>478</v>
      </c>
    </row>
    <row r="253" spans="2:2">
      <c r="B253" s="59" t="s">
        <v>479</v>
      </c>
    </row>
    <row r="254" spans="2:2">
      <c r="B254" s="59" t="s">
        <v>480</v>
      </c>
    </row>
    <row r="255" spans="2:2">
      <c r="B255" s="59" t="s">
        <v>481</v>
      </c>
    </row>
    <row r="256" spans="2:2">
      <c r="B256" s="59" t="s">
        <v>482</v>
      </c>
    </row>
    <row r="257" spans="1:2">
      <c r="B257" s="59" t="s">
        <v>483</v>
      </c>
    </row>
    <row r="258" spans="1:2">
      <c r="B258" s="59" t="s">
        <v>484</v>
      </c>
    </row>
    <row r="259" spans="1:2">
      <c r="B259" s="59" t="s">
        <v>485</v>
      </c>
    </row>
    <row r="260" spans="1:2">
      <c r="B260" s="59" t="s">
        <v>486</v>
      </c>
    </row>
    <row r="261" spans="1:2">
      <c r="B261" s="59" t="s">
        <v>487</v>
      </c>
    </row>
    <row r="262" spans="1:2">
      <c r="B262" s="59" t="s">
        <v>488</v>
      </c>
    </row>
    <row r="263" spans="1:2">
      <c r="B263" s="59" t="s">
        <v>313</v>
      </c>
    </row>
    <row r="264" spans="1:2">
      <c r="B264" s="59" t="s">
        <v>514</v>
      </c>
    </row>
    <row r="265" spans="1:2">
      <c r="B265" s="59" t="s">
        <v>372</v>
      </c>
    </row>
    <row r="266" spans="1:2">
      <c r="B266" s="59" t="s">
        <v>231</v>
      </c>
    </row>
    <row r="267" spans="1:2">
      <c r="B267" s="59" t="s">
        <v>231</v>
      </c>
    </row>
    <row r="268" spans="1:2">
      <c r="B268" s="59" t="s">
        <v>231</v>
      </c>
    </row>
    <row r="269" spans="1:2">
      <c r="B269" s="59" t="s">
        <v>314</v>
      </c>
    </row>
    <row r="270" spans="1:2">
      <c r="B270" s="59" t="s">
        <v>315</v>
      </c>
    </row>
    <row r="271" spans="1:2">
      <c r="B271" s="59" t="s">
        <v>338</v>
      </c>
    </row>
    <row r="272" spans="1:2">
      <c r="A272" s="170" t="s">
        <v>571</v>
      </c>
    </row>
    <row r="273" spans="1:2">
      <c r="A273" s="170" t="s">
        <v>588</v>
      </c>
    </row>
    <row r="274" spans="1:2">
      <c r="A274" s="170"/>
      <c r="B274" s="170" t="s">
        <v>601</v>
      </c>
    </row>
    <row r="275" spans="1:2">
      <c r="A275" s="170"/>
      <c r="B275" s="170" t="s">
        <v>602</v>
      </c>
    </row>
    <row r="276" spans="1:2">
      <c r="A276" s="170" t="s">
        <v>589</v>
      </c>
    </row>
    <row r="277" spans="1:2">
      <c r="A277" s="170"/>
      <c r="B277" s="170" t="s">
        <v>578</v>
      </c>
    </row>
    <row r="278" spans="1:2">
      <c r="A278" s="170" t="s">
        <v>590</v>
      </c>
    </row>
    <row r="279" spans="1:2">
      <c r="A279" s="170"/>
      <c r="B279" s="170" t="s">
        <v>573</v>
      </c>
    </row>
    <row r="280" spans="1:2">
      <c r="A280" s="170"/>
      <c r="B280" s="170" t="s">
        <v>574</v>
      </c>
    </row>
    <row r="281" spans="1:2">
      <c r="A281" s="170" t="s">
        <v>591</v>
      </c>
    </row>
    <row r="282" spans="1:2">
      <c r="A282" s="170"/>
      <c r="B282" s="170" t="s">
        <v>577</v>
      </c>
    </row>
    <row r="283" spans="1:2">
      <c r="A283" s="170" t="s">
        <v>572</v>
      </c>
    </row>
    <row r="284" spans="1:2">
      <c r="B284" s="170" t="s">
        <v>516</v>
      </c>
    </row>
    <row r="285" spans="1:2">
      <c r="B285" s="170" t="s">
        <v>364</v>
      </c>
    </row>
    <row r="286" spans="1:2">
      <c r="A286" s="59" t="s">
        <v>316</v>
      </c>
    </row>
    <row r="287" spans="1:2">
      <c r="A287" s="59" t="s">
        <v>324</v>
      </c>
    </row>
    <row r="288" spans="1:2">
      <c r="B288" s="59" t="s">
        <v>325</v>
      </c>
    </row>
    <row r="289" spans="2:2">
      <c r="B289" s="59" t="s">
        <v>326</v>
      </c>
    </row>
    <row r="290" spans="2:2">
      <c r="B290" s="59" t="s">
        <v>327</v>
      </c>
    </row>
    <row r="291" spans="2:2">
      <c r="B291" s="59" t="s">
        <v>328</v>
      </c>
    </row>
    <row r="292" spans="2:2">
      <c r="B292" s="59" t="s">
        <v>568</v>
      </c>
    </row>
    <row r="293" spans="2:2">
      <c r="B293" s="59" t="s">
        <v>329</v>
      </c>
    </row>
    <row r="294" spans="2:2">
      <c r="B294" s="59" t="s">
        <v>330</v>
      </c>
    </row>
    <row r="295" spans="2:2">
      <c r="B295" s="59" t="s">
        <v>331</v>
      </c>
    </row>
    <row r="296" spans="2:2">
      <c r="B296" s="59" t="s">
        <v>332</v>
      </c>
    </row>
    <row r="297" spans="2:2">
      <c r="B297" s="59" t="s">
        <v>566</v>
      </c>
    </row>
    <row r="298" spans="2:2">
      <c r="B298" s="59" t="s">
        <v>567</v>
      </c>
    </row>
    <row r="299" spans="2:2">
      <c r="B299" s="59" t="s">
        <v>333</v>
      </c>
    </row>
    <row r="300" spans="2:2">
      <c r="B300" s="59" t="s">
        <v>565</v>
      </c>
    </row>
    <row r="301" spans="2:2">
      <c r="B301" s="59" t="s">
        <v>518</v>
      </c>
    </row>
    <row r="302" spans="2:2">
      <c r="B302" s="59" t="s">
        <v>519</v>
      </c>
    </row>
    <row r="303" spans="2:2">
      <c r="B303" s="59" t="s">
        <v>520</v>
      </c>
    </row>
    <row r="304" spans="2:2">
      <c r="B304" s="59" t="s">
        <v>521</v>
      </c>
    </row>
    <row r="305" spans="2:2">
      <c r="B305" s="59" t="s">
        <v>522</v>
      </c>
    </row>
    <row r="306" spans="2:2">
      <c r="B306" s="59" t="s">
        <v>523</v>
      </c>
    </row>
    <row r="307" spans="2:2">
      <c r="B307" s="59" t="s">
        <v>524</v>
      </c>
    </row>
    <row r="308" spans="2:2">
      <c r="B308" s="59" t="s">
        <v>525</v>
      </c>
    </row>
    <row r="309" spans="2:2">
      <c r="B309" s="59" t="s">
        <v>526</v>
      </c>
    </row>
    <row r="310" spans="2:2">
      <c r="B310" s="59" t="s">
        <v>527</v>
      </c>
    </row>
    <row r="311" spans="2:2">
      <c r="B311" s="59" t="s">
        <v>528</v>
      </c>
    </row>
    <row r="312" spans="2:2">
      <c r="B312" s="59" t="s">
        <v>529</v>
      </c>
    </row>
    <row r="313" spans="2:2">
      <c r="B313" s="59" t="s">
        <v>530</v>
      </c>
    </row>
    <row r="314" spans="2:2">
      <c r="B314" s="59" t="s">
        <v>531</v>
      </c>
    </row>
    <row r="315" spans="2:2">
      <c r="B315" s="59" t="s">
        <v>532</v>
      </c>
    </row>
    <row r="316" spans="2:2">
      <c r="B316" s="59" t="s">
        <v>533</v>
      </c>
    </row>
    <row r="317" spans="2:2">
      <c r="B317" s="59" t="s">
        <v>534</v>
      </c>
    </row>
    <row r="318" spans="2:2">
      <c r="B318" s="59" t="s">
        <v>535</v>
      </c>
    </row>
    <row r="319" spans="2:2">
      <c r="B319" s="59" t="s">
        <v>536</v>
      </c>
    </row>
    <row r="320" spans="2:2">
      <c r="B320" s="59" t="s">
        <v>537</v>
      </c>
    </row>
    <row r="321" spans="2:2">
      <c r="B321" s="59" t="s">
        <v>538</v>
      </c>
    </row>
    <row r="322" spans="2:2">
      <c r="B322" s="59" t="s">
        <v>539</v>
      </c>
    </row>
    <row r="323" spans="2:2">
      <c r="B323" s="59" t="s">
        <v>540</v>
      </c>
    </row>
    <row r="324" spans="2:2">
      <c r="B324" s="59" t="s">
        <v>541</v>
      </c>
    </row>
    <row r="325" spans="2:2">
      <c r="B325" s="59" t="s">
        <v>542</v>
      </c>
    </row>
    <row r="326" spans="2:2">
      <c r="B326" s="59" t="s">
        <v>543</v>
      </c>
    </row>
    <row r="327" spans="2:2">
      <c r="B327" s="59" t="s">
        <v>544</v>
      </c>
    </row>
    <row r="328" spans="2:2">
      <c r="B328" s="59" t="s">
        <v>545</v>
      </c>
    </row>
    <row r="329" spans="2:2">
      <c r="B329" s="59" t="s">
        <v>546</v>
      </c>
    </row>
    <row r="330" spans="2:2">
      <c r="B330" s="59" t="s">
        <v>547</v>
      </c>
    </row>
    <row r="331" spans="2:2">
      <c r="B331" s="59" t="s">
        <v>548</v>
      </c>
    </row>
    <row r="332" spans="2:2">
      <c r="B332" s="59" t="s">
        <v>549</v>
      </c>
    </row>
    <row r="333" spans="2:2">
      <c r="B333" s="59" t="s">
        <v>550</v>
      </c>
    </row>
    <row r="334" spans="2:2">
      <c r="B334" s="59" t="s">
        <v>551</v>
      </c>
    </row>
    <row r="335" spans="2:2">
      <c r="B335" s="59" t="s">
        <v>552</v>
      </c>
    </row>
    <row r="336" spans="2:2">
      <c r="B336" s="59" t="s">
        <v>553</v>
      </c>
    </row>
    <row r="337" spans="2:2">
      <c r="B337" s="59" t="s">
        <v>554</v>
      </c>
    </row>
    <row r="338" spans="2:2">
      <c r="B338" s="59" t="s">
        <v>555</v>
      </c>
    </row>
    <row r="339" spans="2:2">
      <c r="B339" s="59" t="s">
        <v>556</v>
      </c>
    </row>
    <row r="340" spans="2:2">
      <c r="B340" s="59" t="s">
        <v>557</v>
      </c>
    </row>
    <row r="341" spans="2:2">
      <c r="B341" s="59" t="s">
        <v>558</v>
      </c>
    </row>
    <row r="342" spans="2:2">
      <c r="B342" s="59" t="s">
        <v>559</v>
      </c>
    </row>
    <row r="343" spans="2:2">
      <c r="B343" s="59" t="s">
        <v>560</v>
      </c>
    </row>
    <row r="344" spans="2:2">
      <c r="B344" s="59" t="s">
        <v>561</v>
      </c>
    </row>
    <row r="345" spans="2:2">
      <c r="B345" s="59" t="s">
        <v>562</v>
      </c>
    </row>
    <row r="346" spans="2:2">
      <c r="B346" s="59" t="s">
        <v>563</v>
      </c>
    </row>
    <row r="347" spans="2:2">
      <c r="B347" s="59" t="s">
        <v>564</v>
      </c>
    </row>
    <row r="348" spans="2:2">
      <c r="B348" s="59" t="s">
        <v>334</v>
      </c>
    </row>
    <row r="349" spans="2:2">
      <c r="B349" s="59" t="s">
        <v>515</v>
      </c>
    </row>
    <row r="350" spans="2:2">
      <c r="B350" s="59" t="s">
        <v>354</v>
      </c>
    </row>
    <row r="351" spans="2:2">
      <c r="B351" s="59" t="s">
        <v>335</v>
      </c>
    </row>
    <row r="352" spans="2:2">
      <c r="B352" s="59" t="s">
        <v>336</v>
      </c>
    </row>
    <row r="353" spans="1:16">
      <c r="B353" s="59" t="s">
        <v>337</v>
      </c>
    </row>
    <row r="354" spans="1:16">
      <c r="B354" s="59" t="s">
        <v>339</v>
      </c>
    </row>
    <row r="357" spans="1:16" s="158" customFormat="1" ht="14.25">
      <c r="A357" s="155" t="s">
        <v>16</v>
      </c>
      <c r="B357" s="155" t="s">
        <v>341</v>
      </c>
      <c r="C357" s="157" t="s">
        <v>217</v>
      </c>
      <c r="D357" s="156" t="s">
        <v>340</v>
      </c>
      <c r="L357" s="159"/>
      <c r="P357" s="159"/>
    </row>
    <row r="358" spans="1:16" s="158" customFormat="1" ht="14.25">
      <c r="A358" s="160">
        <v>5</v>
      </c>
      <c r="B358" s="161" t="s">
        <v>348</v>
      </c>
      <c r="C358" s="162" t="s">
        <v>349</v>
      </c>
      <c r="D358" s="162"/>
      <c r="L358" s="159"/>
      <c r="P358" s="159"/>
    </row>
    <row r="359" spans="1:16" s="158" customFormat="1" ht="14.25">
      <c r="A359" s="193" t="s">
        <v>16</v>
      </c>
      <c r="B359" s="193" t="s">
        <v>211</v>
      </c>
      <c r="C359" s="65" t="s">
        <v>18</v>
      </c>
      <c r="D359" s="193"/>
      <c r="J359" s="159"/>
      <c r="N359" s="159"/>
    </row>
    <row r="360" spans="1:16" s="158" customFormat="1" ht="14.25">
      <c r="A360" s="194"/>
      <c r="B360" s="194"/>
      <c r="C360" s="64" t="s">
        <v>19</v>
      </c>
      <c r="D360" s="194"/>
      <c r="K360" s="159"/>
      <c r="O360" s="159"/>
    </row>
    <row r="361" spans="1:16" s="158" customFormat="1" ht="14.25">
      <c r="A361" s="164">
        <v>1</v>
      </c>
      <c r="B361" s="165" t="s">
        <v>360</v>
      </c>
      <c r="C361" s="179" t="s">
        <v>361</v>
      </c>
      <c r="D361" s="167"/>
    </row>
    <row r="362" spans="1:16" s="158" customFormat="1" ht="14.25">
      <c r="A362" s="164">
        <v>2</v>
      </c>
      <c r="B362" s="165" t="s">
        <v>594</v>
      </c>
      <c r="C362" s="179" t="s">
        <v>597</v>
      </c>
      <c r="D362" s="167"/>
    </row>
    <row r="363" spans="1:16" s="158" customFormat="1" ht="14.25">
      <c r="A363" s="164">
        <v>3</v>
      </c>
      <c r="B363" s="62" t="s">
        <v>356</v>
      </c>
      <c r="C363" s="62" t="s">
        <v>513</v>
      </c>
      <c r="D363" s="178"/>
    </row>
    <row r="364" spans="1:16" s="158" customFormat="1" ht="14.25">
      <c r="A364" s="180">
        <v>4</v>
      </c>
      <c r="B364" s="62" t="s">
        <v>353</v>
      </c>
      <c r="C364" s="62" t="s">
        <v>355</v>
      </c>
      <c r="D364" s="178"/>
    </row>
    <row r="365" spans="1:16" s="158" customFormat="1" ht="14.25">
      <c r="A365" s="155" t="s">
        <v>212</v>
      </c>
      <c r="B365" s="155"/>
      <c r="C365" s="177" t="s">
        <v>213</v>
      </c>
      <c r="D365" s="163"/>
    </row>
    <row r="366" spans="1:16" s="158" customFormat="1" ht="14.25">
      <c r="A366" s="198" t="s">
        <v>233</v>
      </c>
      <c r="B366" s="188"/>
      <c r="C366" s="171" t="s">
        <v>343</v>
      </c>
      <c r="D366" s="167"/>
      <c r="K366" s="159"/>
      <c r="O366" s="159"/>
    </row>
    <row r="367" spans="1:16" s="158" customFormat="1" ht="14.25">
      <c r="A367" s="189" t="s">
        <v>214</v>
      </c>
      <c r="B367" s="190"/>
      <c r="C367" s="191"/>
      <c r="D367" s="163"/>
      <c r="K367" s="159"/>
      <c r="O367" s="159"/>
    </row>
    <row r="368" spans="1:16" s="158" customFormat="1" ht="14.25">
      <c r="A368" s="186" t="s">
        <v>351</v>
      </c>
      <c r="B368" s="187"/>
      <c r="C368" s="188"/>
      <c r="D368" s="167"/>
      <c r="K368" s="159"/>
      <c r="O368" s="159"/>
    </row>
    <row r="369" spans="1:16" s="158" customFormat="1" ht="14.25">
      <c r="A369" s="189" t="s">
        <v>215</v>
      </c>
      <c r="B369" s="190"/>
      <c r="C369" s="191"/>
      <c r="D369" s="163"/>
      <c r="K369" s="159"/>
      <c r="O369" s="159"/>
    </row>
    <row r="370" spans="1:16" s="158" customFormat="1" ht="13.5" customHeight="1">
      <c r="A370" s="186"/>
      <c r="B370" s="187"/>
      <c r="C370" s="188"/>
      <c r="D370" s="168"/>
    </row>
    <row r="371" spans="1:16" s="158" customFormat="1" ht="14.25">
      <c r="A371" s="189" t="s">
        <v>216</v>
      </c>
      <c r="B371" s="190"/>
      <c r="C371" s="191"/>
      <c r="D371" s="163"/>
      <c r="K371" s="159"/>
      <c r="O371" s="159"/>
    </row>
    <row r="372" spans="1:16" s="158" customFormat="1" ht="21" customHeight="1">
      <c r="A372" s="186"/>
      <c r="B372" s="187"/>
      <c r="C372" s="188"/>
      <c r="D372" s="167"/>
    </row>
    <row r="374" spans="1:16">
      <c r="A374" s="59" t="s">
        <v>352</v>
      </c>
    </row>
    <row r="375" spans="1:16">
      <c r="A375" s="59" t="s">
        <v>362</v>
      </c>
    </row>
    <row r="376" spans="1:16">
      <c r="B376" s="59" t="s">
        <v>598</v>
      </c>
    </row>
    <row r="377" spans="1:16">
      <c r="B377" s="59" t="s">
        <v>515</v>
      </c>
    </row>
    <row r="378" spans="1:16">
      <c r="B378" s="59" t="s">
        <v>357</v>
      </c>
    </row>
    <row r="379" spans="1:16">
      <c r="A379" s="59" t="s">
        <v>358</v>
      </c>
    </row>
    <row r="381" spans="1:16" s="158" customFormat="1" ht="14.25">
      <c r="A381" s="155" t="s">
        <v>16</v>
      </c>
      <c r="B381" s="155" t="s">
        <v>341</v>
      </c>
      <c r="C381" s="157" t="s">
        <v>217</v>
      </c>
      <c r="D381" s="156" t="s">
        <v>340</v>
      </c>
      <c r="L381" s="159"/>
      <c r="P381" s="159"/>
    </row>
    <row r="382" spans="1:16" s="158" customFormat="1" ht="14.25">
      <c r="A382" s="160">
        <v>6</v>
      </c>
      <c r="B382" s="161" t="s">
        <v>593</v>
      </c>
      <c r="C382" s="162" t="s">
        <v>349</v>
      </c>
      <c r="D382" s="162"/>
      <c r="L382" s="159"/>
      <c r="P382" s="159"/>
    </row>
    <row r="383" spans="1:16" s="158" customFormat="1" ht="14.25">
      <c r="A383" s="193" t="s">
        <v>16</v>
      </c>
      <c r="B383" s="193" t="s">
        <v>211</v>
      </c>
      <c r="C383" s="65" t="s">
        <v>18</v>
      </c>
      <c r="D383" s="193"/>
      <c r="J383" s="159"/>
      <c r="N383" s="159"/>
    </row>
    <row r="384" spans="1:16" s="158" customFormat="1" ht="14.25">
      <c r="A384" s="194"/>
      <c r="B384" s="194"/>
      <c r="C384" s="64" t="s">
        <v>19</v>
      </c>
      <c r="D384" s="194"/>
      <c r="K384" s="159"/>
      <c r="O384" s="159"/>
    </row>
    <row r="385" spans="1:15" s="158" customFormat="1" ht="14.25">
      <c r="A385" s="164">
        <v>1</v>
      </c>
      <c r="B385" s="165" t="s">
        <v>594</v>
      </c>
      <c r="C385" s="179" t="s">
        <v>595</v>
      </c>
      <c r="D385" s="167"/>
    </row>
    <row r="386" spans="1:15" s="158" customFormat="1" ht="14.25">
      <c r="A386" s="180">
        <v>2</v>
      </c>
      <c r="B386" s="62" t="s">
        <v>356</v>
      </c>
      <c r="C386" s="62" t="s">
        <v>513</v>
      </c>
      <c r="D386" s="178"/>
    </row>
    <row r="387" spans="1:15" s="158" customFormat="1" ht="14.25">
      <c r="A387" s="180">
        <v>3</v>
      </c>
      <c r="B387" s="62" t="s">
        <v>353</v>
      </c>
      <c r="C387" s="62" t="s">
        <v>355</v>
      </c>
      <c r="D387" s="178"/>
    </row>
    <row r="388" spans="1:15" s="158" customFormat="1" ht="14.25">
      <c r="A388" s="155" t="s">
        <v>212</v>
      </c>
      <c r="B388" s="155"/>
      <c r="C388" s="177" t="s">
        <v>213</v>
      </c>
      <c r="D388" s="163"/>
    </row>
    <row r="389" spans="1:15" s="158" customFormat="1" ht="14.25">
      <c r="A389" s="198" t="s">
        <v>233</v>
      </c>
      <c r="B389" s="188"/>
      <c r="C389" s="171" t="s">
        <v>343</v>
      </c>
      <c r="D389" s="167"/>
      <c r="K389" s="159"/>
      <c r="O389" s="159"/>
    </row>
    <row r="390" spans="1:15" s="158" customFormat="1" ht="14.25">
      <c r="A390" s="189" t="s">
        <v>214</v>
      </c>
      <c r="B390" s="190"/>
      <c r="C390" s="191"/>
      <c r="D390" s="163"/>
      <c r="K390" s="159"/>
      <c r="O390" s="159"/>
    </row>
    <row r="391" spans="1:15" s="158" customFormat="1" ht="14.25">
      <c r="A391" s="186" t="s">
        <v>351</v>
      </c>
      <c r="B391" s="187"/>
      <c r="C391" s="188"/>
      <c r="D391" s="167"/>
      <c r="K391" s="159"/>
      <c r="O391" s="159"/>
    </row>
    <row r="392" spans="1:15" s="158" customFormat="1" ht="14.25">
      <c r="A392" s="189" t="s">
        <v>215</v>
      </c>
      <c r="B392" s="190"/>
      <c r="C392" s="191"/>
      <c r="D392" s="163"/>
      <c r="K392" s="159"/>
      <c r="O392" s="159"/>
    </row>
    <row r="393" spans="1:15" s="158" customFormat="1" ht="13.5" customHeight="1">
      <c r="A393" s="186"/>
      <c r="B393" s="187"/>
      <c r="C393" s="188"/>
      <c r="D393" s="168"/>
    </row>
    <row r="394" spans="1:15" s="158" customFormat="1" ht="14.25">
      <c r="A394" s="189" t="s">
        <v>216</v>
      </c>
      <c r="B394" s="190"/>
      <c r="C394" s="191"/>
      <c r="D394" s="163"/>
      <c r="K394" s="159"/>
      <c r="O394" s="159"/>
    </row>
    <row r="395" spans="1:15" s="158" customFormat="1" ht="21" customHeight="1">
      <c r="A395" s="186"/>
      <c r="B395" s="187"/>
      <c r="C395" s="188"/>
      <c r="D395" s="167"/>
    </row>
    <row r="397" spans="1:15">
      <c r="A397" s="59" t="s">
        <v>352</v>
      </c>
    </row>
    <row r="398" spans="1:15">
      <c r="A398" s="59" t="s">
        <v>596</v>
      </c>
    </row>
    <row r="399" spans="1:15">
      <c r="B399" s="59" t="s">
        <v>515</v>
      </c>
    </row>
    <row r="400" spans="1:15">
      <c r="B400" s="59" t="s">
        <v>357</v>
      </c>
    </row>
    <row r="401" spans="1:1">
      <c r="A401" s="59" t="s">
        <v>358</v>
      </c>
    </row>
  </sheetData>
  <mergeCells count="50">
    <mergeCell ref="A391:C391"/>
    <mergeCell ref="A392:C392"/>
    <mergeCell ref="A393:C393"/>
    <mergeCell ref="A394:C394"/>
    <mergeCell ref="A395:C395"/>
    <mergeCell ref="A383:A384"/>
    <mergeCell ref="B383:B384"/>
    <mergeCell ref="D383:D384"/>
    <mergeCell ref="A389:B389"/>
    <mergeCell ref="A390:C390"/>
    <mergeCell ref="A372:C372"/>
    <mergeCell ref="A367:C367"/>
    <mergeCell ref="A368:C368"/>
    <mergeCell ref="A369:C369"/>
    <mergeCell ref="A370:C370"/>
    <mergeCell ref="A371:C371"/>
    <mergeCell ref="A359:A360"/>
    <mergeCell ref="B359:B360"/>
    <mergeCell ref="D359:D360"/>
    <mergeCell ref="A366:B366"/>
    <mergeCell ref="A27:B27"/>
    <mergeCell ref="A28:B28"/>
    <mergeCell ref="A48:A49"/>
    <mergeCell ref="B48:B49"/>
    <mergeCell ref="A120:B120"/>
    <mergeCell ref="A29:C29"/>
    <mergeCell ref="A30:C30"/>
    <mergeCell ref="A31:C31"/>
    <mergeCell ref="A32:C32"/>
    <mergeCell ref="A130:C130"/>
    <mergeCell ref="A131:C131"/>
    <mergeCell ref="A33:C33"/>
    <mergeCell ref="D23:D24"/>
    <mergeCell ref="A23:A24"/>
    <mergeCell ref="B23:B24"/>
    <mergeCell ref="A2:B3"/>
    <mergeCell ref="A8:A9"/>
    <mergeCell ref="B8:B9"/>
    <mergeCell ref="A15:A16"/>
    <mergeCell ref="B15:B16"/>
    <mergeCell ref="A34:C34"/>
    <mergeCell ref="A127:C127"/>
    <mergeCell ref="A128:C128"/>
    <mergeCell ref="A129:C129"/>
    <mergeCell ref="A126:C126"/>
    <mergeCell ref="A123:B123"/>
    <mergeCell ref="A124:B124"/>
    <mergeCell ref="A125:B125"/>
    <mergeCell ref="A122:B122"/>
    <mergeCell ref="A121:B121"/>
  </mergeCells>
  <phoneticPr fontId="6"/>
  <pageMargins left="0.7" right="0.7" top="0.75" bottom="0.75" header="0.3" footer="0.3"/>
  <pageSetup paperSize="9" scale="33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956C3-DCD2-4944-9BE8-FB4639719B19}">
  <sheetPr>
    <pageSetUpPr fitToPage="1"/>
  </sheetPr>
  <dimension ref="D1:BQ28"/>
  <sheetViews>
    <sheetView showGridLines="0" view="pageBreakPreview" zoomScale="70" zoomScaleNormal="100" zoomScaleSheetLayoutView="70" workbookViewId="0">
      <selection activeCell="AI9" sqref="AI9"/>
    </sheetView>
  </sheetViews>
  <sheetFormatPr defaultColWidth="2.5" defaultRowHeight="15.75"/>
  <cols>
    <col min="1" max="16384" width="2.5" style="59"/>
  </cols>
  <sheetData>
    <row r="1" spans="4:69" customFormat="1" ht="18.75">
      <c r="N1" s="59"/>
      <c r="AE1" s="70" t="s">
        <v>102</v>
      </c>
    </row>
    <row r="3" spans="4:69" ht="18.75">
      <c r="D3" s="172" t="s">
        <v>492</v>
      </c>
      <c r="E3"/>
    </row>
    <row r="4" spans="4:69" ht="18.75">
      <c r="D4"/>
      <c r="E4" t="s">
        <v>493</v>
      </c>
    </row>
    <row r="5" spans="4:69" ht="18.75">
      <c r="D5"/>
      <c r="E5" t="s">
        <v>494</v>
      </c>
    </row>
    <row r="6" spans="4:69" ht="18.75">
      <c r="D6"/>
      <c r="E6"/>
    </row>
    <row r="7" spans="4:69" ht="18.75">
      <c r="D7"/>
      <c r="E7"/>
      <c r="L7" t="s">
        <v>495</v>
      </c>
    </row>
    <row r="8" spans="4:69" ht="18.75">
      <c r="D8"/>
      <c r="E8"/>
      <c r="L8"/>
    </row>
    <row r="9" spans="4:69" ht="18.75">
      <c r="D9"/>
      <c r="E9"/>
      <c r="L9" t="s">
        <v>496</v>
      </c>
    </row>
    <row r="12" spans="4:69" ht="18.75">
      <c r="W12" t="s">
        <v>497</v>
      </c>
      <c r="BJ12" t="s">
        <v>497</v>
      </c>
    </row>
    <row r="13" spans="4:69" ht="18.75">
      <c r="F13" s="182" t="s">
        <v>498</v>
      </c>
      <c r="W13" s="182" t="s">
        <v>499</v>
      </c>
      <c r="AE13" s="182" t="s">
        <v>500</v>
      </c>
      <c r="AW13" s="182" t="s">
        <v>501</v>
      </c>
      <c r="BJ13" s="182" t="s">
        <v>502</v>
      </c>
      <c r="BQ13" s="182" t="s">
        <v>503</v>
      </c>
    </row>
    <row r="14" spans="4:69" ht="18.75">
      <c r="F14" s="183"/>
      <c r="W14" s="183"/>
      <c r="AE14" s="183"/>
      <c r="AW14" s="183"/>
      <c r="BJ14" s="183"/>
      <c r="BQ14" s="183"/>
    </row>
    <row r="15" spans="4:69" ht="18.75">
      <c r="F15" s="183"/>
      <c r="W15" s="183"/>
      <c r="AE15" s="183"/>
      <c r="AW15" s="183"/>
      <c r="BJ15" s="183"/>
      <c r="BQ15" s="183"/>
    </row>
    <row r="16" spans="4:69" ht="18.75">
      <c r="F16" s="183"/>
      <c r="W16" s="183"/>
      <c r="AE16" s="183"/>
      <c r="AW16" s="183"/>
      <c r="BJ16" s="183"/>
      <c r="BQ16" s="183"/>
    </row>
    <row r="17" spans="6:69" ht="18.75">
      <c r="F17" s="183" t="s">
        <v>504</v>
      </c>
      <c r="W17" s="183"/>
      <c r="AE17" s="183"/>
      <c r="AW17" s="183"/>
      <c r="BJ17" s="183"/>
      <c r="BQ17" s="183"/>
    </row>
    <row r="18" spans="6:69" ht="18.75">
      <c r="F18" s="183" t="s">
        <v>505</v>
      </c>
      <c r="W18" s="183"/>
      <c r="AE18" s="183"/>
      <c r="AW18" s="183"/>
      <c r="BJ18" s="183"/>
      <c r="BQ18" s="183"/>
    </row>
    <row r="19" spans="6:69" ht="18.75">
      <c r="F19" s="183"/>
      <c r="W19" s="183"/>
      <c r="AE19" s="183"/>
      <c r="AW19" s="183"/>
      <c r="BJ19" s="183"/>
      <c r="BQ19" s="183"/>
    </row>
    <row r="20" spans="6:69" ht="18.75">
      <c r="F20" s="183"/>
      <c r="W20" s="183"/>
      <c r="AE20" s="183"/>
      <c r="AW20" s="183"/>
      <c r="BJ20" s="183"/>
      <c r="BQ20" s="183"/>
    </row>
    <row r="21" spans="6:69" ht="18.75">
      <c r="F21" s="183"/>
      <c r="W21" s="183"/>
      <c r="AE21" s="183" t="s">
        <v>506</v>
      </c>
      <c r="AW21" s="183"/>
      <c r="BJ21" s="183"/>
      <c r="BQ21" s="183"/>
    </row>
    <row r="22" spans="6:69" ht="18.75">
      <c r="F22" s="183"/>
      <c r="W22" s="183"/>
      <c r="AE22" s="183" t="s">
        <v>507</v>
      </c>
      <c r="AW22" s="183"/>
      <c r="BJ22" s="183"/>
      <c r="BQ22" s="183"/>
    </row>
    <row r="23" spans="6:69" ht="18.75">
      <c r="F23" s="183"/>
      <c r="W23" s="183"/>
      <c r="AE23" s="183"/>
      <c r="AW23" s="183"/>
      <c r="BJ23" s="183"/>
      <c r="BQ23" s="183"/>
    </row>
    <row r="24" spans="6:69" ht="18.75">
      <c r="F24" s="183"/>
      <c r="W24" s="183"/>
      <c r="AE24" s="183"/>
      <c r="AW24" s="183"/>
      <c r="BJ24" s="183"/>
      <c r="BQ24" s="183"/>
    </row>
    <row r="25" spans="6:69" ht="18.75">
      <c r="F25" s="183"/>
      <c r="W25" s="183"/>
      <c r="AE25" s="183"/>
      <c r="AW25" s="183" t="s">
        <v>504</v>
      </c>
      <c r="BJ25" s="183"/>
      <c r="BQ25" s="183"/>
    </row>
    <row r="26" spans="6:69" ht="18.75">
      <c r="F26" s="183"/>
      <c r="W26" s="183"/>
      <c r="AE26" s="183"/>
      <c r="AW26" s="183" t="s">
        <v>507</v>
      </c>
      <c r="BJ26" s="183"/>
      <c r="BQ26" s="183"/>
    </row>
    <row r="27" spans="6:69" ht="18.75">
      <c r="F27" s="183"/>
      <c r="W27" s="183"/>
      <c r="AE27" s="183"/>
      <c r="AW27" s="183"/>
      <c r="BJ27" s="183"/>
      <c r="BQ27" s="183"/>
    </row>
    <row r="28" spans="6:69" ht="18.75">
      <c r="W28"/>
    </row>
  </sheetData>
  <phoneticPr fontId="6"/>
  <pageMargins left="0.7" right="0.7" top="0.75" bottom="0.75" header="0.3" footer="0.3"/>
  <pageSetup paperSize="9" scale="64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D0CF7-FFCB-425F-9799-8BBA6A0D7A80}">
  <sheetPr>
    <pageSetUpPr fitToPage="1"/>
  </sheetPr>
  <dimension ref="A1:CV36"/>
  <sheetViews>
    <sheetView showGridLines="0" zoomScale="70" zoomScaleNormal="70" zoomScaleSheetLayoutView="90" workbookViewId="0">
      <selection activeCell="BX33" sqref="BX33:CR36"/>
    </sheetView>
  </sheetViews>
  <sheetFormatPr defaultColWidth="2.125" defaultRowHeight="18.75"/>
  <cols>
    <col min="1" max="99" width="2.125" style="141"/>
    <col min="100" max="100" width="4.25" style="141" customWidth="1"/>
    <col min="101" max="16384" width="2.125" style="141"/>
  </cols>
  <sheetData>
    <row r="1" spans="1:100">
      <c r="Z1" s="114" t="s">
        <v>102</v>
      </c>
    </row>
    <row r="2" spans="1:100" s="69" customFormat="1" ht="13.5" customHeight="1" thickBot="1"/>
    <row r="3" spans="1:100" s="69" customFormat="1" ht="13.5" customHeight="1">
      <c r="A3" s="212" t="s">
        <v>124</v>
      </c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212"/>
      <c r="M3" s="212"/>
      <c r="N3" s="212"/>
      <c r="O3" s="212"/>
      <c r="P3" s="212"/>
      <c r="Q3" s="212"/>
      <c r="R3" s="212"/>
      <c r="S3" s="212"/>
      <c r="T3" s="212"/>
      <c r="U3" s="212"/>
      <c r="V3" s="212"/>
      <c r="W3" s="212"/>
      <c r="X3" s="212"/>
      <c r="Y3" s="212"/>
      <c r="Z3" s="212"/>
      <c r="AA3" s="89"/>
      <c r="AB3" s="115"/>
      <c r="AC3" s="115"/>
      <c r="AD3" s="115"/>
      <c r="AE3" s="115"/>
      <c r="AF3" s="115"/>
      <c r="AG3" s="115"/>
      <c r="AH3" s="115"/>
      <c r="CE3" s="116" t="s">
        <v>7</v>
      </c>
      <c r="CF3" s="100"/>
      <c r="CG3" s="100"/>
      <c r="CH3" s="100"/>
      <c r="CI3" s="100"/>
      <c r="CJ3" s="100"/>
      <c r="CK3" s="100"/>
      <c r="CL3" s="96" t="s">
        <v>171</v>
      </c>
      <c r="CM3" s="101"/>
      <c r="CN3" s="100"/>
      <c r="CO3" s="100"/>
      <c r="CP3" s="100"/>
      <c r="CQ3" s="100"/>
      <c r="CR3" s="100"/>
      <c r="CS3" s="100"/>
      <c r="CT3" s="100"/>
      <c r="CU3" s="100"/>
      <c r="CV3" s="117"/>
    </row>
    <row r="4" spans="1:100" s="69" customFormat="1" ht="13.5" customHeight="1">
      <c r="A4" s="290"/>
      <c r="B4" s="290"/>
      <c r="C4" s="290"/>
      <c r="D4" s="290"/>
      <c r="E4" s="290"/>
      <c r="F4" s="290"/>
      <c r="G4" s="290"/>
      <c r="H4" s="290"/>
      <c r="I4" s="290"/>
      <c r="J4" s="290"/>
      <c r="K4" s="290"/>
      <c r="L4" s="290"/>
      <c r="M4" s="290"/>
      <c r="N4" s="290"/>
      <c r="O4" s="290"/>
      <c r="P4" s="290"/>
      <c r="Q4" s="290"/>
      <c r="R4" s="290"/>
      <c r="S4" s="290"/>
      <c r="T4" s="290"/>
      <c r="U4" s="290"/>
      <c r="V4" s="290"/>
      <c r="W4" s="290"/>
      <c r="X4" s="290"/>
      <c r="Y4" s="290"/>
      <c r="Z4" s="290"/>
      <c r="AA4" s="118"/>
      <c r="AB4" s="119"/>
      <c r="AC4" s="119"/>
      <c r="AD4" s="119"/>
      <c r="AE4" s="119"/>
      <c r="AF4" s="119"/>
      <c r="AG4" s="119"/>
      <c r="AH4" s="119"/>
      <c r="AI4" s="120"/>
      <c r="CE4" s="121" t="s">
        <v>94</v>
      </c>
      <c r="CI4" s="122"/>
      <c r="CJ4" s="122"/>
      <c r="CK4" s="122"/>
      <c r="CL4" s="124" t="s">
        <v>125</v>
      </c>
      <c r="CM4" s="123"/>
      <c r="CO4" s="125"/>
      <c r="CP4" s="125"/>
      <c r="CQ4" s="125"/>
      <c r="CR4" s="125"/>
      <c r="CS4" s="125"/>
      <c r="CT4" s="125"/>
      <c r="CU4" s="125"/>
      <c r="CV4" s="126"/>
    </row>
    <row r="5" spans="1:100" s="69" customFormat="1" ht="13.5" customHeight="1">
      <c r="A5" s="291" t="s">
        <v>172</v>
      </c>
      <c r="B5" s="292"/>
      <c r="C5" s="293"/>
      <c r="D5" s="300" t="s">
        <v>173</v>
      </c>
      <c r="E5" s="301"/>
      <c r="F5" s="302"/>
      <c r="G5" s="300" t="s">
        <v>174</v>
      </c>
      <c r="H5" s="301"/>
      <c r="I5" s="301"/>
      <c r="J5" s="301"/>
      <c r="K5" s="301"/>
      <c r="L5" s="301"/>
      <c r="M5" s="301"/>
      <c r="N5" s="301"/>
      <c r="O5" s="302"/>
      <c r="P5" s="309" t="s">
        <v>175</v>
      </c>
      <c r="Q5" s="310"/>
      <c r="R5" s="310"/>
      <c r="S5" s="310"/>
      <c r="T5" s="310"/>
      <c r="U5" s="310"/>
      <c r="V5" s="310"/>
      <c r="W5" s="310"/>
      <c r="X5" s="310"/>
      <c r="Y5" s="310"/>
      <c r="Z5" s="310"/>
      <c r="AA5" s="310"/>
      <c r="AB5" s="310"/>
      <c r="AC5" s="310"/>
      <c r="AD5" s="310"/>
      <c r="AE5" s="310"/>
      <c r="AF5" s="310"/>
      <c r="AG5" s="310"/>
      <c r="AH5" s="310"/>
      <c r="AI5" s="310"/>
      <c r="AJ5" s="310"/>
      <c r="AK5" s="310"/>
      <c r="AL5" s="310"/>
      <c r="AM5" s="310"/>
      <c r="AN5" s="310"/>
      <c r="AO5" s="310"/>
      <c r="AP5" s="310"/>
      <c r="AQ5" s="310"/>
      <c r="AR5" s="310"/>
      <c r="AS5" s="310"/>
      <c r="AT5" s="310"/>
      <c r="AU5" s="310"/>
      <c r="AV5" s="310"/>
      <c r="AW5" s="310"/>
      <c r="AX5" s="310"/>
      <c r="AY5" s="310"/>
      <c r="AZ5" s="310"/>
      <c r="BA5" s="310"/>
      <c r="BB5" s="310"/>
      <c r="BC5" s="310"/>
      <c r="BD5" s="310"/>
      <c r="BE5" s="310"/>
      <c r="BF5" s="310"/>
      <c r="BG5" s="310"/>
      <c r="BH5" s="310"/>
      <c r="BI5" s="310"/>
      <c r="BJ5" s="310"/>
      <c r="BK5" s="310"/>
      <c r="BL5" s="310"/>
      <c r="BM5" s="310"/>
      <c r="BN5" s="310"/>
      <c r="BO5" s="310"/>
      <c r="BP5" s="310"/>
      <c r="BQ5" s="310"/>
      <c r="BR5" s="310"/>
      <c r="BS5" s="310"/>
      <c r="BT5" s="311"/>
      <c r="BU5" s="309" t="s">
        <v>176</v>
      </c>
      <c r="BV5" s="310"/>
      <c r="BW5" s="310"/>
      <c r="BX5" s="310"/>
      <c r="BY5" s="310"/>
      <c r="BZ5" s="310"/>
      <c r="CA5" s="310"/>
      <c r="CB5" s="310"/>
      <c r="CC5" s="310"/>
      <c r="CD5" s="310"/>
      <c r="CE5" s="310"/>
      <c r="CF5" s="310"/>
      <c r="CG5" s="310"/>
      <c r="CH5" s="310"/>
      <c r="CI5" s="310"/>
      <c r="CJ5" s="310"/>
      <c r="CK5" s="310"/>
      <c r="CL5" s="310"/>
      <c r="CM5" s="310"/>
      <c r="CN5" s="310"/>
      <c r="CO5" s="310"/>
      <c r="CP5" s="310"/>
      <c r="CQ5" s="310"/>
      <c r="CR5" s="310"/>
      <c r="CS5" s="310"/>
      <c r="CT5" s="310"/>
      <c r="CU5" s="310"/>
      <c r="CV5" s="312"/>
    </row>
    <row r="6" spans="1:100" s="69" customFormat="1" ht="13.5" customHeight="1">
      <c r="A6" s="294"/>
      <c r="B6" s="295"/>
      <c r="C6" s="296"/>
      <c r="D6" s="303"/>
      <c r="E6" s="304"/>
      <c r="F6" s="305"/>
      <c r="G6" s="303"/>
      <c r="H6" s="304"/>
      <c r="I6" s="304"/>
      <c r="J6" s="304"/>
      <c r="K6" s="304"/>
      <c r="L6" s="304"/>
      <c r="M6" s="304"/>
      <c r="N6" s="304"/>
      <c r="O6" s="305"/>
      <c r="P6" s="313" t="s">
        <v>177</v>
      </c>
      <c r="Q6" s="314"/>
      <c r="R6" s="313" t="s">
        <v>178</v>
      </c>
      <c r="S6" s="319"/>
      <c r="T6" s="314"/>
      <c r="U6" s="313" t="s">
        <v>179</v>
      </c>
      <c r="V6" s="319"/>
      <c r="W6" s="314"/>
      <c r="X6" s="313" t="s">
        <v>180</v>
      </c>
      <c r="Y6" s="319"/>
      <c r="Z6" s="314"/>
      <c r="AA6" s="326" t="s">
        <v>181</v>
      </c>
      <c r="AB6" s="326"/>
      <c r="AC6" s="326"/>
      <c r="AD6" s="326"/>
      <c r="AE6" s="326"/>
      <c r="AF6" s="326"/>
      <c r="AG6" s="326"/>
      <c r="AH6" s="326"/>
      <c r="AI6" s="326"/>
      <c r="AJ6" s="326"/>
      <c r="AK6" s="327" t="s">
        <v>182</v>
      </c>
      <c r="AL6" s="328"/>
      <c r="AM6" s="328"/>
      <c r="AN6" s="328"/>
      <c r="AO6" s="328"/>
      <c r="AP6" s="328"/>
      <c r="AQ6" s="328"/>
      <c r="AR6" s="328"/>
      <c r="AS6" s="328"/>
      <c r="AT6" s="328"/>
      <c r="AU6" s="328"/>
      <c r="AV6" s="328"/>
      <c r="AW6" s="328"/>
      <c r="AX6" s="328"/>
      <c r="AY6" s="328"/>
      <c r="AZ6" s="328"/>
      <c r="BA6" s="328"/>
      <c r="BB6" s="328"/>
      <c r="BC6" s="328"/>
      <c r="BD6" s="328"/>
      <c r="BE6" s="328"/>
      <c r="BF6" s="328"/>
      <c r="BG6" s="328"/>
      <c r="BH6" s="328"/>
      <c r="BI6" s="328"/>
      <c r="BJ6" s="328"/>
      <c r="BK6" s="328"/>
      <c r="BL6" s="328"/>
      <c r="BM6" s="328"/>
      <c r="BN6" s="328"/>
      <c r="BO6" s="328"/>
      <c r="BP6" s="329"/>
      <c r="BQ6" s="313" t="s">
        <v>183</v>
      </c>
      <c r="BR6" s="319"/>
      <c r="BS6" s="319"/>
      <c r="BT6" s="314"/>
      <c r="BU6" s="313" t="s">
        <v>184</v>
      </c>
      <c r="BV6" s="319"/>
      <c r="BW6" s="319"/>
      <c r="BX6" s="313" t="s">
        <v>185</v>
      </c>
      <c r="BY6" s="319"/>
      <c r="BZ6" s="319"/>
      <c r="CA6" s="319"/>
      <c r="CB6" s="319"/>
      <c r="CC6" s="319"/>
      <c r="CD6" s="319"/>
      <c r="CE6" s="319"/>
      <c r="CF6" s="319"/>
      <c r="CG6" s="319"/>
      <c r="CH6" s="319"/>
      <c r="CI6" s="319"/>
      <c r="CJ6" s="319"/>
      <c r="CK6" s="319"/>
      <c r="CL6" s="319"/>
      <c r="CM6" s="319"/>
      <c r="CN6" s="319"/>
      <c r="CO6" s="319"/>
      <c r="CP6" s="319"/>
      <c r="CQ6" s="319"/>
      <c r="CR6" s="314"/>
      <c r="CS6" s="313" t="s">
        <v>183</v>
      </c>
      <c r="CT6" s="319"/>
      <c r="CU6" s="319"/>
      <c r="CV6" s="330"/>
    </row>
    <row r="7" spans="1:100" s="69" customFormat="1" ht="13.5" customHeight="1">
      <c r="A7" s="294"/>
      <c r="B7" s="295"/>
      <c r="C7" s="296"/>
      <c r="D7" s="303"/>
      <c r="E7" s="304"/>
      <c r="F7" s="305"/>
      <c r="G7" s="303"/>
      <c r="H7" s="304"/>
      <c r="I7" s="304"/>
      <c r="J7" s="304"/>
      <c r="K7" s="304"/>
      <c r="L7" s="304"/>
      <c r="M7" s="304"/>
      <c r="N7" s="304"/>
      <c r="O7" s="305"/>
      <c r="P7" s="315"/>
      <c r="Q7" s="316"/>
      <c r="R7" s="315"/>
      <c r="S7" s="320"/>
      <c r="T7" s="316"/>
      <c r="U7" s="315"/>
      <c r="V7" s="320"/>
      <c r="W7" s="316"/>
      <c r="X7" s="315"/>
      <c r="Y7" s="320"/>
      <c r="Z7" s="316"/>
      <c r="AA7" s="300" t="s">
        <v>186</v>
      </c>
      <c r="AB7" s="301"/>
      <c r="AC7" s="301"/>
      <c r="AD7" s="301"/>
      <c r="AE7" s="302"/>
      <c r="AF7" s="300" t="s">
        <v>187</v>
      </c>
      <c r="AG7" s="301"/>
      <c r="AH7" s="301"/>
      <c r="AI7" s="301"/>
      <c r="AJ7" s="302"/>
      <c r="AK7" s="327" t="s">
        <v>188</v>
      </c>
      <c r="AL7" s="328"/>
      <c r="AM7" s="328"/>
      <c r="AN7" s="328"/>
      <c r="AO7" s="328"/>
      <c r="AP7" s="328"/>
      <c r="AQ7" s="328"/>
      <c r="AR7" s="328"/>
      <c r="AS7" s="328"/>
      <c r="AT7" s="328"/>
      <c r="AU7" s="328"/>
      <c r="AV7" s="328"/>
      <c r="AW7" s="328"/>
      <c r="AX7" s="329"/>
      <c r="AY7" s="327" t="s">
        <v>189</v>
      </c>
      <c r="AZ7" s="328"/>
      <c r="BA7" s="328"/>
      <c r="BB7" s="328"/>
      <c r="BC7" s="328"/>
      <c r="BD7" s="328"/>
      <c r="BE7" s="328"/>
      <c r="BF7" s="328"/>
      <c r="BG7" s="328"/>
      <c r="BH7" s="328"/>
      <c r="BI7" s="328"/>
      <c r="BJ7" s="328"/>
      <c r="BK7" s="328"/>
      <c r="BL7" s="328"/>
      <c r="BM7" s="328"/>
      <c r="BN7" s="328"/>
      <c r="BO7" s="328"/>
      <c r="BP7" s="329"/>
      <c r="BQ7" s="315"/>
      <c r="BR7" s="320"/>
      <c r="BS7" s="320"/>
      <c r="BT7" s="316"/>
      <c r="BU7" s="315"/>
      <c r="BV7" s="320"/>
      <c r="BW7" s="320"/>
      <c r="BX7" s="315"/>
      <c r="BY7" s="320"/>
      <c r="BZ7" s="320"/>
      <c r="CA7" s="320"/>
      <c r="CB7" s="320"/>
      <c r="CC7" s="320"/>
      <c r="CD7" s="320"/>
      <c r="CE7" s="320"/>
      <c r="CF7" s="320"/>
      <c r="CG7" s="320"/>
      <c r="CH7" s="320"/>
      <c r="CI7" s="320"/>
      <c r="CJ7" s="320"/>
      <c r="CK7" s="320"/>
      <c r="CL7" s="320"/>
      <c r="CM7" s="320"/>
      <c r="CN7" s="320"/>
      <c r="CO7" s="320"/>
      <c r="CP7" s="320"/>
      <c r="CQ7" s="320"/>
      <c r="CR7" s="316"/>
      <c r="CS7" s="315"/>
      <c r="CT7" s="320"/>
      <c r="CU7" s="320"/>
      <c r="CV7" s="331"/>
    </row>
    <row r="8" spans="1:100" s="69" customFormat="1" ht="40.5" customHeight="1" thickBot="1">
      <c r="A8" s="297"/>
      <c r="B8" s="298"/>
      <c r="C8" s="299"/>
      <c r="D8" s="306"/>
      <c r="E8" s="307"/>
      <c r="F8" s="308"/>
      <c r="G8" s="306"/>
      <c r="H8" s="307"/>
      <c r="I8" s="307"/>
      <c r="J8" s="307"/>
      <c r="K8" s="307"/>
      <c r="L8" s="307"/>
      <c r="M8" s="307"/>
      <c r="N8" s="307"/>
      <c r="O8" s="308"/>
      <c r="P8" s="317"/>
      <c r="Q8" s="318"/>
      <c r="R8" s="317"/>
      <c r="S8" s="321"/>
      <c r="T8" s="318"/>
      <c r="U8" s="317"/>
      <c r="V8" s="321"/>
      <c r="W8" s="318"/>
      <c r="X8" s="317"/>
      <c r="Y8" s="321"/>
      <c r="Z8" s="318"/>
      <c r="AA8" s="306"/>
      <c r="AB8" s="307"/>
      <c r="AC8" s="307"/>
      <c r="AD8" s="307"/>
      <c r="AE8" s="308"/>
      <c r="AF8" s="306"/>
      <c r="AG8" s="307"/>
      <c r="AH8" s="307"/>
      <c r="AI8" s="307"/>
      <c r="AJ8" s="308"/>
      <c r="AK8" s="324" t="s">
        <v>190</v>
      </c>
      <c r="AL8" s="325"/>
      <c r="AM8" s="354" t="s">
        <v>191</v>
      </c>
      <c r="AN8" s="325"/>
      <c r="AO8" s="354" t="s">
        <v>192</v>
      </c>
      <c r="AP8" s="325"/>
      <c r="AQ8" s="324" t="s">
        <v>193</v>
      </c>
      <c r="AR8" s="325"/>
      <c r="AS8" s="322" t="s">
        <v>194</v>
      </c>
      <c r="AT8" s="323"/>
      <c r="AU8" s="324" t="s">
        <v>195</v>
      </c>
      <c r="AV8" s="325"/>
      <c r="AW8" s="324" t="s">
        <v>196</v>
      </c>
      <c r="AX8" s="325"/>
      <c r="AY8" s="324" t="s">
        <v>190</v>
      </c>
      <c r="AZ8" s="325"/>
      <c r="BA8" s="354" t="s">
        <v>191</v>
      </c>
      <c r="BB8" s="325"/>
      <c r="BC8" s="354" t="s">
        <v>192</v>
      </c>
      <c r="BD8" s="325"/>
      <c r="BE8" s="324" t="s">
        <v>193</v>
      </c>
      <c r="BF8" s="325"/>
      <c r="BG8" s="324" t="s">
        <v>197</v>
      </c>
      <c r="BH8" s="325"/>
      <c r="BI8" s="324" t="s">
        <v>198</v>
      </c>
      <c r="BJ8" s="325"/>
      <c r="BK8" s="322" t="s">
        <v>194</v>
      </c>
      <c r="BL8" s="323"/>
      <c r="BM8" s="324" t="s">
        <v>195</v>
      </c>
      <c r="BN8" s="325"/>
      <c r="BO8" s="324" t="s">
        <v>199</v>
      </c>
      <c r="BP8" s="325"/>
      <c r="BQ8" s="317"/>
      <c r="BR8" s="321"/>
      <c r="BS8" s="321"/>
      <c r="BT8" s="318"/>
      <c r="BU8" s="317"/>
      <c r="BV8" s="321"/>
      <c r="BW8" s="321"/>
      <c r="BX8" s="317"/>
      <c r="BY8" s="321"/>
      <c r="BZ8" s="321"/>
      <c r="CA8" s="321"/>
      <c r="CB8" s="321"/>
      <c r="CC8" s="321"/>
      <c r="CD8" s="321"/>
      <c r="CE8" s="321"/>
      <c r="CF8" s="321"/>
      <c r="CG8" s="321"/>
      <c r="CH8" s="321"/>
      <c r="CI8" s="321"/>
      <c r="CJ8" s="321"/>
      <c r="CK8" s="321"/>
      <c r="CL8" s="321"/>
      <c r="CM8" s="321"/>
      <c r="CN8" s="321"/>
      <c r="CO8" s="321"/>
      <c r="CP8" s="321"/>
      <c r="CQ8" s="321"/>
      <c r="CR8" s="318"/>
      <c r="CS8" s="317"/>
      <c r="CT8" s="321"/>
      <c r="CU8" s="321"/>
      <c r="CV8" s="332"/>
    </row>
    <row r="9" spans="1:100" s="142" customFormat="1" ht="13.5" customHeight="1" thickTop="1">
      <c r="A9" s="342"/>
      <c r="B9" s="343"/>
      <c r="C9" s="344"/>
      <c r="D9" s="351"/>
      <c r="E9" s="343"/>
      <c r="F9" s="344"/>
      <c r="G9" s="351"/>
      <c r="H9" s="343"/>
      <c r="I9" s="343"/>
      <c r="J9" s="343"/>
      <c r="K9" s="343"/>
      <c r="L9" s="343"/>
      <c r="M9" s="343"/>
      <c r="N9" s="343"/>
      <c r="O9" s="344"/>
      <c r="P9" s="333"/>
      <c r="Q9" s="335"/>
      <c r="R9" s="333"/>
      <c r="S9" s="334"/>
      <c r="T9" s="335"/>
      <c r="U9" s="333"/>
      <c r="V9" s="334"/>
      <c r="W9" s="335"/>
      <c r="X9" s="333"/>
      <c r="Y9" s="334"/>
      <c r="Z9" s="335"/>
      <c r="AA9" s="333"/>
      <c r="AB9" s="334"/>
      <c r="AC9" s="334"/>
      <c r="AD9" s="334"/>
      <c r="AE9" s="335"/>
      <c r="AF9" s="333"/>
      <c r="AG9" s="334"/>
      <c r="AH9" s="334"/>
      <c r="AI9" s="334"/>
      <c r="AJ9" s="335"/>
      <c r="AK9" s="333"/>
      <c r="AL9" s="335"/>
      <c r="AM9" s="333"/>
      <c r="AN9" s="335"/>
      <c r="AO9" s="333"/>
      <c r="AP9" s="335"/>
      <c r="AQ9" s="333"/>
      <c r="AR9" s="335"/>
      <c r="AS9" s="333"/>
      <c r="AT9" s="335"/>
      <c r="AU9" s="333"/>
      <c r="AV9" s="335"/>
      <c r="AW9" s="333"/>
      <c r="AX9" s="335"/>
      <c r="AY9" s="333"/>
      <c r="AZ9" s="335"/>
      <c r="BA9" s="333"/>
      <c r="BB9" s="335"/>
      <c r="BC9" s="333"/>
      <c r="BD9" s="335"/>
      <c r="BE9" s="333"/>
      <c r="BF9" s="335"/>
      <c r="BG9" s="333"/>
      <c r="BH9" s="335"/>
      <c r="BI9" s="333"/>
      <c r="BJ9" s="335"/>
      <c r="BK9" s="333"/>
      <c r="BL9" s="335"/>
      <c r="BM9" s="333"/>
      <c r="BN9" s="335"/>
      <c r="BO9" s="333"/>
      <c r="BP9" s="335"/>
      <c r="BQ9" s="333"/>
      <c r="BR9" s="334"/>
      <c r="BS9" s="334"/>
      <c r="BT9" s="335"/>
      <c r="BU9" s="333"/>
      <c r="BV9" s="334"/>
      <c r="BW9" s="335"/>
      <c r="BX9" s="333"/>
      <c r="BY9" s="334"/>
      <c r="BZ9" s="334"/>
      <c r="CA9" s="334"/>
      <c r="CB9" s="334"/>
      <c r="CC9" s="334"/>
      <c r="CD9" s="334"/>
      <c r="CE9" s="334"/>
      <c r="CF9" s="334"/>
      <c r="CG9" s="334"/>
      <c r="CH9" s="334"/>
      <c r="CI9" s="334"/>
      <c r="CJ9" s="334"/>
      <c r="CK9" s="334"/>
      <c r="CL9" s="334"/>
      <c r="CM9" s="334"/>
      <c r="CN9" s="334"/>
      <c r="CO9" s="334"/>
      <c r="CP9" s="334"/>
      <c r="CQ9" s="334"/>
      <c r="CR9" s="335"/>
      <c r="CS9" s="333"/>
      <c r="CT9" s="334"/>
      <c r="CU9" s="334"/>
      <c r="CV9" s="355"/>
    </row>
    <row r="10" spans="1:100" s="142" customFormat="1" ht="13.5" customHeight="1">
      <c r="A10" s="345"/>
      <c r="B10" s="346"/>
      <c r="C10" s="347"/>
      <c r="D10" s="352"/>
      <c r="E10" s="346"/>
      <c r="F10" s="347"/>
      <c r="G10" s="352"/>
      <c r="H10" s="346"/>
      <c r="I10" s="346"/>
      <c r="J10" s="346"/>
      <c r="K10" s="346"/>
      <c r="L10" s="346"/>
      <c r="M10" s="346"/>
      <c r="N10" s="346"/>
      <c r="O10" s="347"/>
      <c r="P10" s="336"/>
      <c r="Q10" s="338"/>
      <c r="R10" s="336"/>
      <c r="S10" s="337"/>
      <c r="T10" s="338"/>
      <c r="U10" s="336"/>
      <c r="V10" s="337"/>
      <c r="W10" s="338"/>
      <c r="X10" s="336"/>
      <c r="Y10" s="337"/>
      <c r="Z10" s="338"/>
      <c r="AA10" s="336"/>
      <c r="AB10" s="337"/>
      <c r="AC10" s="337"/>
      <c r="AD10" s="337"/>
      <c r="AE10" s="338"/>
      <c r="AF10" s="336"/>
      <c r="AG10" s="337"/>
      <c r="AH10" s="337"/>
      <c r="AI10" s="337"/>
      <c r="AJ10" s="338"/>
      <c r="AK10" s="336"/>
      <c r="AL10" s="338"/>
      <c r="AM10" s="336"/>
      <c r="AN10" s="338"/>
      <c r="AO10" s="336"/>
      <c r="AP10" s="338"/>
      <c r="AQ10" s="336"/>
      <c r="AR10" s="338"/>
      <c r="AS10" s="336"/>
      <c r="AT10" s="338"/>
      <c r="AU10" s="336"/>
      <c r="AV10" s="338"/>
      <c r="AW10" s="336"/>
      <c r="AX10" s="338"/>
      <c r="AY10" s="336"/>
      <c r="AZ10" s="338"/>
      <c r="BA10" s="336"/>
      <c r="BB10" s="338"/>
      <c r="BC10" s="336"/>
      <c r="BD10" s="338"/>
      <c r="BE10" s="336"/>
      <c r="BF10" s="338"/>
      <c r="BG10" s="336"/>
      <c r="BH10" s="338"/>
      <c r="BI10" s="336"/>
      <c r="BJ10" s="338"/>
      <c r="BK10" s="336"/>
      <c r="BL10" s="338"/>
      <c r="BM10" s="336"/>
      <c r="BN10" s="338"/>
      <c r="BO10" s="336"/>
      <c r="BP10" s="338"/>
      <c r="BQ10" s="336"/>
      <c r="BR10" s="337"/>
      <c r="BS10" s="337"/>
      <c r="BT10" s="338"/>
      <c r="BU10" s="336"/>
      <c r="BV10" s="337"/>
      <c r="BW10" s="338"/>
      <c r="BX10" s="336"/>
      <c r="BY10" s="337"/>
      <c r="BZ10" s="337"/>
      <c r="CA10" s="337"/>
      <c r="CB10" s="337"/>
      <c r="CC10" s="337"/>
      <c r="CD10" s="337"/>
      <c r="CE10" s="337"/>
      <c r="CF10" s="337"/>
      <c r="CG10" s="337"/>
      <c r="CH10" s="337"/>
      <c r="CI10" s="337"/>
      <c r="CJ10" s="337"/>
      <c r="CK10" s="337"/>
      <c r="CL10" s="337"/>
      <c r="CM10" s="337"/>
      <c r="CN10" s="337"/>
      <c r="CO10" s="337"/>
      <c r="CP10" s="337"/>
      <c r="CQ10" s="337"/>
      <c r="CR10" s="338"/>
      <c r="CS10" s="336"/>
      <c r="CT10" s="337"/>
      <c r="CU10" s="337"/>
      <c r="CV10" s="356"/>
    </row>
    <row r="11" spans="1:100" s="142" customFormat="1" ht="13.5" customHeight="1">
      <c r="A11" s="345"/>
      <c r="B11" s="346"/>
      <c r="C11" s="347"/>
      <c r="D11" s="352"/>
      <c r="E11" s="346"/>
      <c r="F11" s="347"/>
      <c r="G11" s="352"/>
      <c r="H11" s="346"/>
      <c r="I11" s="346"/>
      <c r="J11" s="346"/>
      <c r="K11" s="346"/>
      <c r="L11" s="346"/>
      <c r="M11" s="346"/>
      <c r="N11" s="346"/>
      <c r="O11" s="347"/>
      <c r="P11" s="336"/>
      <c r="Q11" s="338"/>
      <c r="R11" s="336"/>
      <c r="S11" s="337"/>
      <c r="T11" s="338"/>
      <c r="U11" s="336"/>
      <c r="V11" s="337"/>
      <c r="W11" s="338"/>
      <c r="X11" s="336"/>
      <c r="Y11" s="337"/>
      <c r="Z11" s="338"/>
      <c r="AA11" s="336"/>
      <c r="AB11" s="337"/>
      <c r="AC11" s="337"/>
      <c r="AD11" s="337"/>
      <c r="AE11" s="338"/>
      <c r="AF11" s="336"/>
      <c r="AG11" s="337"/>
      <c r="AH11" s="337"/>
      <c r="AI11" s="337"/>
      <c r="AJ11" s="338"/>
      <c r="AK11" s="336"/>
      <c r="AL11" s="338"/>
      <c r="AM11" s="336"/>
      <c r="AN11" s="338"/>
      <c r="AO11" s="336"/>
      <c r="AP11" s="338"/>
      <c r="AQ11" s="336"/>
      <c r="AR11" s="338"/>
      <c r="AS11" s="336"/>
      <c r="AT11" s="338"/>
      <c r="AU11" s="336"/>
      <c r="AV11" s="338"/>
      <c r="AW11" s="336"/>
      <c r="AX11" s="338"/>
      <c r="AY11" s="336"/>
      <c r="AZ11" s="338"/>
      <c r="BA11" s="336"/>
      <c r="BB11" s="338"/>
      <c r="BC11" s="336"/>
      <c r="BD11" s="338"/>
      <c r="BE11" s="336"/>
      <c r="BF11" s="338"/>
      <c r="BG11" s="336"/>
      <c r="BH11" s="338"/>
      <c r="BI11" s="336"/>
      <c r="BJ11" s="338"/>
      <c r="BK11" s="336"/>
      <c r="BL11" s="338"/>
      <c r="BM11" s="336"/>
      <c r="BN11" s="338"/>
      <c r="BO11" s="336"/>
      <c r="BP11" s="338"/>
      <c r="BQ11" s="336"/>
      <c r="BR11" s="337"/>
      <c r="BS11" s="337"/>
      <c r="BT11" s="338"/>
      <c r="BU11" s="336"/>
      <c r="BV11" s="337"/>
      <c r="BW11" s="338"/>
      <c r="BX11" s="336"/>
      <c r="BY11" s="337"/>
      <c r="BZ11" s="337"/>
      <c r="CA11" s="337"/>
      <c r="CB11" s="337"/>
      <c r="CC11" s="337"/>
      <c r="CD11" s="337"/>
      <c r="CE11" s="337"/>
      <c r="CF11" s="337"/>
      <c r="CG11" s="337"/>
      <c r="CH11" s="337"/>
      <c r="CI11" s="337"/>
      <c r="CJ11" s="337"/>
      <c r="CK11" s="337"/>
      <c r="CL11" s="337"/>
      <c r="CM11" s="337"/>
      <c r="CN11" s="337"/>
      <c r="CO11" s="337"/>
      <c r="CP11" s="337"/>
      <c r="CQ11" s="337"/>
      <c r="CR11" s="338"/>
      <c r="CS11" s="336"/>
      <c r="CT11" s="337"/>
      <c r="CU11" s="337"/>
      <c r="CV11" s="356"/>
    </row>
    <row r="12" spans="1:100" s="142" customFormat="1" ht="13.5" customHeight="1" thickBot="1">
      <c r="A12" s="348"/>
      <c r="B12" s="349"/>
      <c r="C12" s="350"/>
      <c r="D12" s="353"/>
      <c r="E12" s="349"/>
      <c r="F12" s="350"/>
      <c r="G12" s="353"/>
      <c r="H12" s="349"/>
      <c r="I12" s="349"/>
      <c r="J12" s="349"/>
      <c r="K12" s="349"/>
      <c r="L12" s="349"/>
      <c r="M12" s="349"/>
      <c r="N12" s="349"/>
      <c r="O12" s="350"/>
      <c r="P12" s="339"/>
      <c r="Q12" s="341"/>
      <c r="R12" s="339"/>
      <c r="S12" s="340"/>
      <c r="T12" s="341"/>
      <c r="U12" s="339"/>
      <c r="V12" s="340"/>
      <c r="W12" s="341"/>
      <c r="X12" s="339"/>
      <c r="Y12" s="340"/>
      <c r="Z12" s="341"/>
      <c r="AA12" s="339"/>
      <c r="AB12" s="340"/>
      <c r="AC12" s="340"/>
      <c r="AD12" s="340"/>
      <c r="AE12" s="341"/>
      <c r="AF12" s="339"/>
      <c r="AG12" s="340"/>
      <c r="AH12" s="340"/>
      <c r="AI12" s="340"/>
      <c r="AJ12" s="341"/>
      <c r="AK12" s="339"/>
      <c r="AL12" s="341"/>
      <c r="AM12" s="339"/>
      <c r="AN12" s="341"/>
      <c r="AO12" s="339"/>
      <c r="AP12" s="341"/>
      <c r="AQ12" s="339"/>
      <c r="AR12" s="341"/>
      <c r="AS12" s="339"/>
      <c r="AT12" s="341"/>
      <c r="AU12" s="339"/>
      <c r="AV12" s="341"/>
      <c r="AW12" s="339"/>
      <c r="AX12" s="341"/>
      <c r="AY12" s="339"/>
      <c r="AZ12" s="341"/>
      <c r="BA12" s="339"/>
      <c r="BB12" s="341"/>
      <c r="BC12" s="339"/>
      <c r="BD12" s="341"/>
      <c r="BE12" s="339"/>
      <c r="BF12" s="341"/>
      <c r="BG12" s="339"/>
      <c r="BH12" s="341"/>
      <c r="BI12" s="339"/>
      <c r="BJ12" s="341"/>
      <c r="BK12" s="339"/>
      <c r="BL12" s="341"/>
      <c r="BM12" s="339"/>
      <c r="BN12" s="341"/>
      <c r="BO12" s="339"/>
      <c r="BP12" s="341"/>
      <c r="BQ12" s="339"/>
      <c r="BR12" s="340"/>
      <c r="BS12" s="340"/>
      <c r="BT12" s="341"/>
      <c r="BU12" s="339"/>
      <c r="BV12" s="340"/>
      <c r="BW12" s="341"/>
      <c r="BX12" s="339"/>
      <c r="BY12" s="340"/>
      <c r="BZ12" s="340"/>
      <c r="CA12" s="340"/>
      <c r="CB12" s="340"/>
      <c r="CC12" s="340"/>
      <c r="CD12" s="340"/>
      <c r="CE12" s="340"/>
      <c r="CF12" s="340"/>
      <c r="CG12" s="340"/>
      <c r="CH12" s="340"/>
      <c r="CI12" s="340"/>
      <c r="CJ12" s="340"/>
      <c r="CK12" s="340"/>
      <c r="CL12" s="340"/>
      <c r="CM12" s="340"/>
      <c r="CN12" s="340"/>
      <c r="CO12" s="340"/>
      <c r="CP12" s="340"/>
      <c r="CQ12" s="340"/>
      <c r="CR12" s="341"/>
      <c r="CS12" s="339"/>
      <c r="CT12" s="340"/>
      <c r="CU12" s="340"/>
      <c r="CV12" s="357"/>
    </row>
    <row r="13" spans="1:100" s="142" customFormat="1" ht="13.5" customHeight="1" thickTop="1">
      <c r="A13" s="342"/>
      <c r="B13" s="343"/>
      <c r="C13" s="344"/>
      <c r="D13" s="351"/>
      <c r="E13" s="343"/>
      <c r="F13" s="344"/>
      <c r="G13" s="351"/>
      <c r="H13" s="343"/>
      <c r="I13" s="343"/>
      <c r="J13" s="343"/>
      <c r="K13" s="343"/>
      <c r="L13" s="343"/>
      <c r="M13" s="343"/>
      <c r="N13" s="343"/>
      <c r="O13" s="344"/>
      <c r="P13" s="333"/>
      <c r="Q13" s="335"/>
      <c r="R13" s="333"/>
      <c r="S13" s="334"/>
      <c r="T13" s="335"/>
      <c r="U13" s="333"/>
      <c r="V13" s="334"/>
      <c r="W13" s="335"/>
      <c r="X13" s="333"/>
      <c r="Y13" s="334"/>
      <c r="Z13" s="335"/>
      <c r="AA13" s="333"/>
      <c r="AB13" s="334"/>
      <c r="AC13" s="334"/>
      <c r="AD13" s="334"/>
      <c r="AE13" s="335"/>
      <c r="AF13" s="333"/>
      <c r="AG13" s="334"/>
      <c r="AH13" s="334"/>
      <c r="AI13" s="334"/>
      <c r="AJ13" s="335"/>
      <c r="AK13" s="333"/>
      <c r="AL13" s="335"/>
      <c r="AM13" s="333"/>
      <c r="AN13" s="335"/>
      <c r="AO13" s="333"/>
      <c r="AP13" s="335"/>
      <c r="AQ13" s="333"/>
      <c r="AR13" s="335"/>
      <c r="AS13" s="333"/>
      <c r="AT13" s="335"/>
      <c r="AU13" s="333"/>
      <c r="AV13" s="335"/>
      <c r="AW13" s="333"/>
      <c r="AX13" s="335"/>
      <c r="AY13" s="333"/>
      <c r="AZ13" s="335"/>
      <c r="BA13" s="333"/>
      <c r="BB13" s="335"/>
      <c r="BC13" s="333"/>
      <c r="BD13" s="335"/>
      <c r="BE13" s="333"/>
      <c r="BF13" s="335"/>
      <c r="BG13" s="333"/>
      <c r="BH13" s="335"/>
      <c r="BI13" s="333"/>
      <c r="BJ13" s="335"/>
      <c r="BK13" s="333"/>
      <c r="BL13" s="335"/>
      <c r="BM13" s="333"/>
      <c r="BN13" s="335"/>
      <c r="BO13" s="333"/>
      <c r="BP13" s="335"/>
      <c r="BQ13" s="333"/>
      <c r="BR13" s="334"/>
      <c r="BS13" s="334"/>
      <c r="BT13" s="335"/>
      <c r="BU13" s="333"/>
      <c r="BV13" s="334"/>
      <c r="BW13" s="335"/>
      <c r="BX13" s="333"/>
      <c r="BY13" s="334"/>
      <c r="BZ13" s="334"/>
      <c r="CA13" s="334"/>
      <c r="CB13" s="334"/>
      <c r="CC13" s="334"/>
      <c r="CD13" s="334"/>
      <c r="CE13" s="334"/>
      <c r="CF13" s="334"/>
      <c r="CG13" s="334"/>
      <c r="CH13" s="334"/>
      <c r="CI13" s="334"/>
      <c r="CJ13" s="334"/>
      <c r="CK13" s="334"/>
      <c r="CL13" s="334"/>
      <c r="CM13" s="334"/>
      <c r="CN13" s="334"/>
      <c r="CO13" s="334"/>
      <c r="CP13" s="334"/>
      <c r="CQ13" s="334"/>
      <c r="CR13" s="335"/>
      <c r="CS13" s="333"/>
      <c r="CT13" s="334"/>
      <c r="CU13" s="334"/>
      <c r="CV13" s="355"/>
    </row>
    <row r="14" spans="1:100" s="142" customFormat="1" ht="13.5" customHeight="1">
      <c r="A14" s="345"/>
      <c r="B14" s="346"/>
      <c r="C14" s="347"/>
      <c r="D14" s="352"/>
      <c r="E14" s="346"/>
      <c r="F14" s="347"/>
      <c r="G14" s="352"/>
      <c r="H14" s="346"/>
      <c r="I14" s="346"/>
      <c r="J14" s="346"/>
      <c r="K14" s="346"/>
      <c r="L14" s="346"/>
      <c r="M14" s="346"/>
      <c r="N14" s="346"/>
      <c r="O14" s="347"/>
      <c r="P14" s="336"/>
      <c r="Q14" s="338"/>
      <c r="R14" s="336"/>
      <c r="S14" s="337"/>
      <c r="T14" s="338"/>
      <c r="U14" s="336"/>
      <c r="V14" s="337"/>
      <c r="W14" s="338"/>
      <c r="X14" s="336"/>
      <c r="Y14" s="337"/>
      <c r="Z14" s="338"/>
      <c r="AA14" s="336"/>
      <c r="AB14" s="337"/>
      <c r="AC14" s="337"/>
      <c r="AD14" s="337"/>
      <c r="AE14" s="338"/>
      <c r="AF14" s="336"/>
      <c r="AG14" s="337"/>
      <c r="AH14" s="337"/>
      <c r="AI14" s="337"/>
      <c r="AJ14" s="338"/>
      <c r="AK14" s="336"/>
      <c r="AL14" s="338"/>
      <c r="AM14" s="336"/>
      <c r="AN14" s="338"/>
      <c r="AO14" s="336"/>
      <c r="AP14" s="338"/>
      <c r="AQ14" s="336"/>
      <c r="AR14" s="338"/>
      <c r="AS14" s="336"/>
      <c r="AT14" s="338"/>
      <c r="AU14" s="336"/>
      <c r="AV14" s="338"/>
      <c r="AW14" s="336"/>
      <c r="AX14" s="338"/>
      <c r="AY14" s="336"/>
      <c r="AZ14" s="338"/>
      <c r="BA14" s="336"/>
      <c r="BB14" s="338"/>
      <c r="BC14" s="336"/>
      <c r="BD14" s="338"/>
      <c r="BE14" s="336"/>
      <c r="BF14" s="338"/>
      <c r="BG14" s="336"/>
      <c r="BH14" s="338"/>
      <c r="BI14" s="336"/>
      <c r="BJ14" s="338"/>
      <c r="BK14" s="336"/>
      <c r="BL14" s="338"/>
      <c r="BM14" s="336"/>
      <c r="BN14" s="338"/>
      <c r="BO14" s="336"/>
      <c r="BP14" s="338"/>
      <c r="BQ14" s="336"/>
      <c r="BR14" s="337"/>
      <c r="BS14" s="337"/>
      <c r="BT14" s="338"/>
      <c r="BU14" s="336"/>
      <c r="BV14" s="337"/>
      <c r="BW14" s="338"/>
      <c r="BX14" s="336"/>
      <c r="BY14" s="337"/>
      <c r="BZ14" s="337"/>
      <c r="CA14" s="337"/>
      <c r="CB14" s="337"/>
      <c r="CC14" s="337"/>
      <c r="CD14" s="337"/>
      <c r="CE14" s="337"/>
      <c r="CF14" s="337"/>
      <c r="CG14" s="337"/>
      <c r="CH14" s="337"/>
      <c r="CI14" s="337"/>
      <c r="CJ14" s="337"/>
      <c r="CK14" s="337"/>
      <c r="CL14" s="337"/>
      <c r="CM14" s="337"/>
      <c r="CN14" s="337"/>
      <c r="CO14" s="337"/>
      <c r="CP14" s="337"/>
      <c r="CQ14" s="337"/>
      <c r="CR14" s="338"/>
      <c r="CS14" s="336"/>
      <c r="CT14" s="337"/>
      <c r="CU14" s="337"/>
      <c r="CV14" s="356"/>
    </row>
    <row r="15" spans="1:100" s="142" customFormat="1" ht="13.5" customHeight="1">
      <c r="A15" s="345"/>
      <c r="B15" s="346"/>
      <c r="C15" s="347"/>
      <c r="D15" s="352"/>
      <c r="E15" s="346"/>
      <c r="F15" s="347"/>
      <c r="G15" s="352"/>
      <c r="H15" s="346"/>
      <c r="I15" s="346"/>
      <c r="J15" s="346"/>
      <c r="K15" s="346"/>
      <c r="L15" s="346"/>
      <c r="M15" s="346"/>
      <c r="N15" s="346"/>
      <c r="O15" s="347"/>
      <c r="P15" s="336"/>
      <c r="Q15" s="338"/>
      <c r="R15" s="336"/>
      <c r="S15" s="337"/>
      <c r="T15" s="338"/>
      <c r="U15" s="336"/>
      <c r="V15" s="337"/>
      <c r="W15" s="338"/>
      <c r="X15" s="336"/>
      <c r="Y15" s="337"/>
      <c r="Z15" s="338"/>
      <c r="AA15" s="336"/>
      <c r="AB15" s="337"/>
      <c r="AC15" s="337"/>
      <c r="AD15" s="337"/>
      <c r="AE15" s="338"/>
      <c r="AF15" s="336"/>
      <c r="AG15" s="337"/>
      <c r="AH15" s="337"/>
      <c r="AI15" s="337"/>
      <c r="AJ15" s="338"/>
      <c r="AK15" s="336"/>
      <c r="AL15" s="338"/>
      <c r="AM15" s="336"/>
      <c r="AN15" s="338"/>
      <c r="AO15" s="336"/>
      <c r="AP15" s="338"/>
      <c r="AQ15" s="336"/>
      <c r="AR15" s="338"/>
      <c r="AS15" s="336"/>
      <c r="AT15" s="338"/>
      <c r="AU15" s="336"/>
      <c r="AV15" s="338"/>
      <c r="AW15" s="336"/>
      <c r="AX15" s="338"/>
      <c r="AY15" s="336"/>
      <c r="AZ15" s="338"/>
      <c r="BA15" s="336"/>
      <c r="BB15" s="338"/>
      <c r="BC15" s="336"/>
      <c r="BD15" s="338"/>
      <c r="BE15" s="336"/>
      <c r="BF15" s="338"/>
      <c r="BG15" s="336"/>
      <c r="BH15" s="338"/>
      <c r="BI15" s="336"/>
      <c r="BJ15" s="338"/>
      <c r="BK15" s="336"/>
      <c r="BL15" s="338"/>
      <c r="BM15" s="336"/>
      <c r="BN15" s="338"/>
      <c r="BO15" s="336"/>
      <c r="BP15" s="338"/>
      <c r="BQ15" s="336"/>
      <c r="BR15" s="337"/>
      <c r="BS15" s="337"/>
      <c r="BT15" s="338"/>
      <c r="BU15" s="336"/>
      <c r="BV15" s="337"/>
      <c r="BW15" s="338"/>
      <c r="BX15" s="336"/>
      <c r="BY15" s="337"/>
      <c r="BZ15" s="337"/>
      <c r="CA15" s="337"/>
      <c r="CB15" s="337"/>
      <c r="CC15" s="337"/>
      <c r="CD15" s="337"/>
      <c r="CE15" s="337"/>
      <c r="CF15" s="337"/>
      <c r="CG15" s="337"/>
      <c r="CH15" s="337"/>
      <c r="CI15" s="337"/>
      <c r="CJ15" s="337"/>
      <c r="CK15" s="337"/>
      <c r="CL15" s="337"/>
      <c r="CM15" s="337"/>
      <c r="CN15" s="337"/>
      <c r="CO15" s="337"/>
      <c r="CP15" s="337"/>
      <c r="CQ15" s="337"/>
      <c r="CR15" s="338"/>
      <c r="CS15" s="336"/>
      <c r="CT15" s="337"/>
      <c r="CU15" s="337"/>
      <c r="CV15" s="356"/>
    </row>
    <row r="16" spans="1:100" s="142" customFormat="1" ht="13.5" customHeight="1" thickBot="1">
      <c r="A16" s="348"/>
      <c r="B16" s="349"/>
      <c r="C16" s="350"/>
      <c r="D16" s="353"/>
      <c r="E16" s="349"/>
      <c r="F16" s="350"/>
      <c r="G16" s="353"/>
      <c r="H16" s="349"/>
      <c r="I16" s="349"/>
      <c r="J16" s="349"/>
      <c r="K16" s="349"/>
      <c r="L16" s="349"/>
      <c r="M16" s="349"/>
      <c r="N16" s="349"/>
      <c r="O16" s="350"/>
      <c r="P16" s="339"/>
      <c r="Q16" s="341"/>
      <c r="R16" s="339"/>
      <c r="S16" s="340"/>
      <c r="T16" s="341"/>
      <c r="U16" s="339"/>
      <c r="V16" s="340"/>
      <c r="W16" s="341"/>
      <c r="X16" s="339"/>
      <c r="Y16" s="340"/>
      <c r="Z16" s="341"/>
      <c r="AA16" s="339"/>
      <c r="AB16" s="340"/>
      <c r="AC16" s="340"/>
      <c r="AD16" s="340"/>
      <c r="AE16" s="341"/>
      <c r="AF16" s="339"/>
      <c r="AG16" s="340"/>
      <c r="AH16" s="340"/>
      <c r="AI16" s="340"/>
      <c r="AJ16" s="341"/>
      <c r="AK16" s="339"/>
      <c r="AL16" s="341"/>
      <c r="AM16" s="339"/>
      <c r="AN16" s="341"/>
      <c r="AO16" s="339"/>
      <c r="AP16" s="341"/>
      <c r="AQ16" s="339"/>
      <c r="AR16" s="341"/>
      <c r="AS16" s="339"/>
      <c r="AT16" s="341"/>
      <c r="AU16" s="339"/>
      <c r="AV16" s="341"/>
      <c r="AW16" s="339"/>
      <c r="AX16" s="341"/>
      <c r="AY16" s="339"/>
      <c r="AZ16" s="341"/>
      <c r="BA16" s="339"/>
      <c r="BB16" s="341"/>
      <c r="BC16" s="339"/>
      <c r="BD16" s="341"/>
      <c r="BE16" s="339"/>
      <c r="BF16" s="341"/>
      <c r="BG16" s="339"/>
      <c r="BH16" s="341"/>
      <c r="BI16" s="339"/>
      <c r="BJ16" s="341"/>
      <c r="BK16" s="339"/>
      <c r="BL16" s="341"/>
      <c r="BM16" s="339"/>
      <c r="BN16" s="341"/>
      <c r="BO16" s="339"/>
      <c r="BP16" s="341"/>
      <c r="BQ16" s="339"/>
      <c r="BR16" s="340"/>
      <c r="BS16" s="340"/>
      <c r="BT16" s="341"/>
      <c r="BU16" s="339"/>
      <c r="BV16" s="340"/>
      <c r="BW16" s="341"/>
      <c r="BX16" s="339"/>
      <c r="BY16" s="340"/>
      <c r="BZ16" s="340"/>
      <c r="CA16" s="340"/>
      <c r="CB16" s="340"/>
      <c r="CC16" s="340"/>
      <c r="CD16" s="340"/>
      <c r="CE16" s="340"/>
      <c r="CF16" s="340"/>
      <c r="CG16" s="340"/>
      <c r="CH16" s="340"/>
      <c r="CI16" s="340"/>
      <c r="CJ16" s="340"/>
      <c r="CK16" s="340"/>
      <c r="CL16" s="340"/>
      <c r="CM16" s="340"/>
      <c r="CN16" s="340"/>
      <c r="CO16" s="340"/>
      <c r="CP16" s="340"/>
      <c r="CQ16" s="340"/>
      <c r="CR16" s="341"/>
      <c r="CS16" s="339"/>
      <c r="CT16" s="340"/>
      <c r="CU16" s="340"/>
      <c r="CV16" s="357"/>
    </row>
    <row r="17" spans="1:100" s="142" customFormat="1" ht="13.5" customHeight="1" thickTop="1">
      <c r="A17" s="342"/>
      <c r="B17" s="343"/>
      <c r="C17" s="344"/>
      <c r="D17" s="351"/>
      <c r="E17" s="343"/>
      <c r="F17" s="344"/>
      <c r="G17" s="351"/>
      <c r="H17" s="343"/>
      <c r="I17" s="343"/>
      <c r="J17" s="343"/>
      <c r="K17" s="343"/>
      <c r="L17" s="343"/>
      <c r="M17" s="343"/>
      <c r="N17" s="343"/>
      <c r="O17" s="344"/>
      <c r="P17" s="333"/>
      <c r="Q17" s="335"/>
      <c r="R17" s="333"/>
      <c r="S17" s="334"/>
      <c r="T17" s="335"/>
      <c r="U17" s="333"/>
      <c r="V17" s="334"/>
      <c r="W17" s="335"/>
      <c r="X17" s="333"/>
      <c r="Y17" s="334"/>
      <c r="Z17" s="335"/>
      <c r="AA17" s="333"/>
      <c r="AB17" s="334"/>
      <c r="AC17" s="334"/>
      <c r="AD17" s="334"/>
      <c r="AE17" s="335"/>
      <c r="AF17" s="333"/>
      <c r="AG17" s="334"/>
      <c r="AH17" s="334"/>
      <c r="AI17" s="334"/>
      <c r="AJ17" s="335"/>
      <c r="AK17" s="333"/>
      <c r="AL17" s="335"/>
      <c r="AM17" s="333"/>
      <c r="AN17" s="335"/>
      <c r="AO17" s="333"/>
      <c r="AP17" s="335"/>
      <c r="AQ17" s="333"/>
      <c r="AR17" s="335"/>
      <c r="AS17" s="333"/>
      <c r="AT17" s="335"/>
      <c r="AU17" s="333"/>
      <c r="AV17" s="335"/>
      <c r="AW17" s="333"/>
      <c r="AX17" s="335"/>
      <c r="AY17" s="333"/>
      <c r="AZ17" s="335"/>
      <c r="BA17" s="333"/>
      <c r="BB17" s="335"/>
      <c r="BC17" s="333"/>
      <c r="BD17" s="335"/>
      <c r="BE17" s="333"/>
      <c r="BF17" s="335"/>
      <c r="BG17" s="333"/>
      <c r="BH17" s="335"/>
      <c r="BI17" s="333"/>
      <c r="BJ17" s="335"/>
      <c r="BK17" s="333"/>
      <c r="BL17" s="335"/>
      <c r="BM17" s="333"/>
      <c r="BN17" s="335"/>
      <c r="BO17" s="333"/>
      <c r="BP17" s="335"/>
      <c r="BQ17" s="333"/>
      <c r="BR17" s="334"/>
      <c r="BS17" s="334"/>
      <c r="BT17" s="335"/>
      <c r="BU17" s="333"/>
      <c r="BV17" s="334"/>
      <c r="BW17" s="335"/>
      <c r="BX17" s="333"/>
      <c r="BY17" s="334"/>
      <c r="BZ17" s="334"/>
      <c r="CA17" s="334"/>
      <c r="CB17" s="334"/>
      <c r="CC17" s="334"/>
      <c r="CD17" s="334"/>
      <c r="CE17" s="334"/>
      <c r="CF17" s="334"/>
      <c r="CG17" s="334"/>
      <c r="CH17" s="334"/>
      <c r="CI17" s="334"/>
      <c r="CJ17" s="334"/>
      <c r="CK17" s="334"/>
      <c r="CL17" s="334"/>
      <c r="CM17" s="334"/>
      <c r="CN17" s="334"/>
      <c r="CO17" s="334"/>
      <c r="CP17" s="334"/>
      <c r="CQ17" s="334"/>
      <c r="CR17" s="335"/>
      <c r="CS17" s="333"/>
      <c r="CT17" s="334"/>
      <c r="CU17" s="334"/>
      <c r="CV17" s="355"/>
    </row>
    <row r="18" spans="1:100" s="142" customFormat="1" ht="13.5" customHeight="1">
      <c r="A18" s="345"/>
      <c r="B18" s="346"/>
      <c r="C18" s="347"/>
      <c r="D18" s="352"/>
      <c r="E18" s="346"/>
      <c r="F18" s="347"/>
      <c r="G18" s="352"/>
      <c r="H18" s="346"/>
      <c r="I18" s="346"/>
      <c r="J18" s="346"/>
      <c r="K18" s="346"/>
      <c r="L18" s="346"/>
      <c r="M18" s="346"/>
      <c r="N18" s="346"/>
      <c r="O18" s="347"/>
      <c r="P18" s="336"/>
      <c r="Q18" s="338"/>
      <c r="R18" s="336"/>
      <c r="S18" s="337"/>
      <c r="T18" s="338"/>
      <c r="U18" s="336"/>
      <c r="V18" s="337"/>
      <c r="W18" s="338"/>
      <c r="X18" s="336"/>
      <c r="Y18" s="337"/>
      <c r="Z18" s="338"/>
      <c r="AA18" s="336"/>
      <c r="AB18" s="337"/>
      <c r="AC18" s="337"/>
      <c r="AD18" s="337"/>
      <c r="AE18" s="338"/>
      <c r="AF18" s="336"/>
      <c r="AG18" s="337"/>
      <c r="AH18" s="337"/>
      <c r="AI18" s="337"/>
      <c r="AJ18" s="338"/>
      <c r="AK18" s="336"/>
      <c r="AL18" s="338"/>
      <c r="AM18" s="336"/>
      <c r="AN18" s="338"/>
      <c r="AO18" s="336"/>
      <c r="AP18" s="338"/>
      <c r="AQ18" s="336"/>
      <c r="AR18" s="338"/>
      <c r="AS18" s="336"/>
      <c r="AT18" s="338"/>
      <c r="AU18" s="336"/>
      <c r="AV18" s="338"/>
      <c r="AW18" s="336"/>
      <c r="AX18" s="338"/>
      <c r="AY18" s="336"/>
      <c r="AZ18" s="338"/>
      <c r="BA18" s="336"/>
      <c r="BB18" s="338"/>
      <c r="BC18" s="336"/>
      <c r="BD18" s="338"/>
      <c r="BE18" s="336"/>
      <c r="BF18" s="338"/>
      <c r="BG18" s="336"/>
      <c r="BH18" s="338"/>
      <c r="BI18" s="336"/>
      <c r="BJ18" s="338"/>
      <c r="BK18" s="336"/>
      <c r="BL18" s="338"/>
      <c r="BM18" s="336"/>
      <c r="BN18" s="338"/>
      <c r="BO18" s="336"/>
      <c r="BP18" s="338"/>
      <c r="BQ18" s="336"/>
      <c r="BR18" s="337"/>
      <c r="BS18" s="337"/>
      <c r="BT18" s="338"/>
      <c r="BU18" s="336"/>
      <c r="BV18" s="337"/>
      <c r="BW18" s="338"/>
      <c r="BX18" s="336"/>
      <c r="BY18" s="337"/>
      <c r="BZ18" s="337"/>
      <c r="CA18" s="337"/>
      <c r="CB18" s="337"/>
      <c r="CC18" s="337"/>
      <c r="CD18" s="337"/>
      <c r="CE18" s="337"/>
      <c r="CF18" s="337"/>
      <c r="CG18" s="337"/>
      <c r="CH18" s="337"/>
      <c r="CI18" s="337"/>
      <c r="CJ18" s="337"/>
      <c r="CK18" s="337"/>
      <c r="CL18" s="337"/>
      <c r="CM18" s="337"/>
      <c r="CN18" s="337"/>
      <c r="CO18" s="337"/>
      <c r="CP18" s="337"/>
      <c r="CQ18" s="337"/>
      <c r="CR18" s="338"/>
      <c r="CS18" s="336"/>
      <c r="CT18" s="337"/>
      <c r="CU18" s="337"/>
      <c r="CV18" s="356"/>
    </row>
    <row r="19" spans="1:100" s="142" customFormat="1" ht="13.5" customHeight="1">
      <c r="A19" s="345"/>
      <c r="B19" s="346"/>
      <c r="C19" s="347"/>
      <c r="D19" s="352"/>
      <c r="E19" s="346"/>
      <c r="F19" s="347"/>
      <c r="G19" s="352"/>
      <c r="H19" s="346"/>
      <c r="I19" s="346"/>
      <c r="J19" s="346"/>
      <c r="K19" s="346"/>
      <c r="L19" s="346"/>
      <c r="M19" s="346"/>
      <c r="N19" s="346"/>
      <c r="O19" s="347"/>
      <c r="P19" s="336"/>
      <c r="Q19" s="338"/>
      <c r="R19" s="336"/>
      <c r="S19" s="337"/>
      <c r="T19" s="338"/>
      <c r="U19" s="336"/>
      <c r="V19" s="337"/>
      <c r="W19" s="338"/>
      <c r="X19" s="336"/>
      <c r="Y19" s="337"/>
      <c r="Z19" s="338"/>
      <c r="AA19" s="336"/>
      <c r="AB19" s="337"/>
      <c r="AC19" s="337"/>
      <c r="AD19" s="337"/>
      <c r="AE19" s="338"/>
      <c r="AF19" s="336"/>
      <c r="AG19" s="337"/>
      <c r="AH19" s="337"/>
      <c r="AI19" s="337"/>
      <c r="AJ19" s="338"/>
      <c r="AK19" s="336"/>
      <c r="AL19" s="338"/>
      <c r="AM19" s="336"/>
      <c r="AN19" s="338"/>
      <c r="AO19" s="336"/>
      <c r="AP19" s="338"/>
      <c r="AQ19" s="336"/>
      <c r="AR19" s="338"/>
      <c r="AS19" s="336"/>
      <c r="AT19" s="338"/>
      <c r="AU19" s="336"/>
      <c r="AV19" s="338"/>
      <c r="AW19" s="336"/>
      <c r="AX19" s="338"/>
      <c r="AY19" s="336"/>
      <c r="AZ19" s="338"/>
      <c r="BA19" s="336"/>
      <c r="BB19" s="338"/>
      <c r="BC19" s="336"/>
      <c r="BD19" s="338"/>
      <c r="BE19" s="336"/>
      <c r="BF19" s="338"/>
      <c r="BG19" s="336"/>
      <c r="BH19" s="338"/>
      <c r="BI19" s="336"/>
      <c r="BJ19" s="338"/>
      <c r="BK19" s="336"/>
      <c r="BL19" s="338"/>
      <c r="BM19" s="336"/>
      <c r="BN19" s="338"/>
      <c r="BO19" s="336"/>
      <c r="BP19" s="338"/>
      <c r="BQ19" s="336"/>
      <c r="BR19" s="337"/>
      <c r="BS19" s="337"/>
      <c r="BT19" s="338"/>
      <c r="BU19" s="336"/>
      <c r="BV19" s="337"/>
      <c r="BW19" s="338"/>
      <c r="BX19" s="336"/>
      <c r="BY19" s="337"/>
      <c r="BZ19" s="337"/>
      <c r="CA19" s="337"/>
      <c r="CB19" s="337"/>
      <c r="CC19" s="337"/>
      <c r="CD19" s="337"/>
      <c r="CE19" s="337"/>
      <c r="CF19" s="337"/>
      <c r="CG19" s="337"/>
      <c r="CH19" s="337"/>
      <c r="CI19" s="337"/>
      <c r="CJ19" s="337"/>
      <c r="CK19" s="337"/>
      <c r="CL19" s="337"/>
      <c r="CM19" s="337"/>
      <c r="CN19" s="337"/>
      <c r="CO19" s="337"/>
      <c r="CP19" s="337"/>
      <c r="CQ19" s="337"/>
      <c r="CR19" s="338"/>
      <c r="CS19" s="336"/>
      <c r="CT19" s="337"/>
      <c r="CU19" s="337"/>
      <c r="CV19" s="356"/>
    </row>
    <row r="20" spans="1:100" s="142" customFormat="1" ht="13.5" customHeight="1" thickBot="1">
      <c r="A20" s="348"/>
      <c r="B20" s="349"/>
      <c r="C20" s="350"/>
      <c r="D20" s="353"/>
      <c r="E20" s="349"/>
      <c r="F20" s="350"/>
      <c r="G20" s="353"/>
      <c r="H20" s="349"/>
      <c r="I20" s="349"/>
      <c r="J20" s="349"/>
      <c r="K20" s="349"/>
      <c r="L20" s="349"/>
      <c r="M20" s="349"/>
      <c r="N20" s="349"/>
      <c r="O20" s="350"/>
      <c r="P20" s="339"/>
      <c r="Q20" s="341"/>
      <c r="R20" s="339"/>
      <c r="S20" s="340"/>
      <c r="T20" s="341"/>
      <c r="U20" s="339"/>
      <c r="V20" s="340"/>
      <c r="W20" s="341"/>
      <c r="X20" s="339"/>
      <c r="Y20" s="340"/>
      <c r="Z20" s="341"/>
      <c r="AA20" s="339"/>
      <c r="AB20" s="340"/>
      <c r="AC20" s="340"/>
      <c r="AD20" s="340"/>
      <c r="AE20" s="341"/>
      <c r="AF20" s="339"/>
      <c r="AG20" s="340"/>
      <c r="AH20" s="340"/>
      <c r="AI20" s="340"/>
      <c r="AJ20" s="341"/>
      <c r="AK20" s="339"/>
      <c r="AL20" s="341"/>
      <c r="AM20" s="339"/>
      <c r="AN20" s="341"/>
      <c r="AO20" s="339"/>
      <c r="AP20" s="341"/>
      <c r="AQ20" s="339"/>
      <c r="AR20" s="341"/>
      <c r="AS20" s="339"/>
      <c r="AT20" s="341"/>
      <c r="AU20" s="339"/>
      <c r="AV20" s="341"/>
      <c r="AW20" s="339"/>
      <c r="AX20" s="341"/>
      <c r="AY20" s="339"/>
      <c r="AZ20" s="341"/>
      <c r="BA20" s="339"/>
      <c r="BB20" s="341"/>
      <c r="BC20" s="339"/>
      <c r="BD20" s="341"/>
      <c r="BE20" s="339"/>
      <c r="BF20" s="341"/>
      <c r="BG20" s="339"/>
      <c r="BH20" s="341"/>
      <c r="BI20" s="339"/>
      <c r="BJ20" s="341"/>
      <c r="BK20" s="339"/>
      <c r="BL20" s="341"/>
      <c r="BM20" s="339"/>
      <c r="BN20" s="341"/>
      <c r="BO20" s="339"/>
      <c r="BP20" s="341"/>
      <c r="BQ20" s="339"/>
      <c r="BR20" s="340"/>
      <c r="BS20" s="340"/>
      <c r="BT20" s="341"/>
      <c r="BU20" s="339"/>
      <c r="BV20" s="340"/>
      <c r="BW20" s="341"/>
      <c r="BX20" s="339"/>
      <c r="BY20" s="340"/>
      <c r="BZ20" s="340"/>
      <c r="CA20" s="340"/>
      <c r="CB20" s="340"/>
      <c r="CC20" s="340"/>
      <c r="CD20" s="340"/>
      <c r="CE20" s="340"/>
      <c r="CF20" s="340"/>
      <c r="CG20" s="340"/>
      <c r="CH20" s="340"/>
      <c r="CI20" s="340"/>
      <c r="CJ20" s="340"/>
      <c r="CK20" s="340"/>
      <c r="CL20" s="340"/>
      <c r="CM20" s="340"/>
      <c r="CN20" s="340"/>
      <c r="CO20" s="340"/>
      <c r="CP20" s="340"/>
      <c r="CQ20" s="340"/>
      <c r="CR20" s="341"/>
      <c r="CS20" s="339"/>
      <c r="CT20" s="340"/>
      <c r="CU20" s="340"/>
      <c r="CV20" s="357"/>
    </row>
    <row r="21" spans="1:100" s="142" customFormat="1" ht="13.5" customHeight="1" thickTop="1">
      <c r="A21" s="342"/>
      <c r="B21" s="343"/>
      <c r="C21" s="344"/>
      <c r="D21" s="351"/>
      <c r="E21" s="343"/>
      <c r="F21" s="344"/>
      <c r="G21" s="351"/>
      <c r="H21" s="343"/>
      <c r="I21" s="343"/>
      <c r="J21" s="343"/>
      <c r="K21" s="343"/>
      <c r="L21" s="343"/>
      <c r="M21" s="343"/>
      <c r="N21" s="343"/>
      <c r="O21" s="344"/>
      <c r="P21" s="333"/>
      <c r="Q21" s="335"/>
      <c r="R21" s="333"/>
      <c r="S21" s="334"/>
      <c r="T21" s="335"/>
      <c r="U21" s="333"/>
      <c r="V21" s="334"/>
      <c r="W21" s="335"/>
      <c r="X21" s="333"/>
      <c r="Y21" s="334"/>
      <c r="Z21" s="335"/>
      <c r="AA21" s="333"/>
      <c r="AB21" s="334"/>
      <c r="AC21" s="334"/>
      <c r="AD21" s="334"/>
      <c r="AE21" s="335"/>
      <c r="AF21" s="333"/>
      <c r="AG21" s="334"/>
      <c r="AH21" s="334"/>
      <c r="AI21" s="334"/>
      <c r="AJ21" s="335"/>
      <c r="AK21" s="333"/>
      <c r="AL21" s="335"/>
      <c r="AM21" s="333"/>
      <c r="AN21" s="335"/>
      <c r="AO21" s="333"/>
      <c r="AP21" s="335"/>
      <c r="AQ21" s="333"/>
      <c r="AR21" s="335"/>
      <c r="AS21" s="333"/>
      <c r="AT21" s="335"/>
      <c r="AU21" s="333"/>
      <c r="AV21" s="335"/>
      <c r="AW21" s="333"/>
      <c r="AX21" s="335"/>
      <c r="AY21" s="333"/>
      <c r="AZ21" s="335"/>
      <c r="BA21" s="333"/>
      <c r="BB21" s="335"/>
      <c r="BC21" s="333"/>
      <c r="BD21" s="335"/>
      <c r="BE21" s="333"/>
      <c r="BF21" s="335"/>
      <c r="BG21" s="333"/>
      <c r="BH21" s="335"/>
      <c r="BI21" s="333"/>
      <c r="BJ21" s="335"/>
      <c r="BK21" s="333"/>
      <c r="BL21" s="335"/>
      <c r="BM21" s="333"/>
      <c r="BN21" s="335"/>
      <c r="BO21" s="333"/>
      <c r="BP21" s="335"/>
      <c r="BQ21" s="333"/>
      <c r="BR21" s="334"/>
      <c r="BS21" s="334"/>
      <c r="BT21" s="335"/>
      <c r="BU21" s="333"/>
      <c r="BV21" s="334"/>
      <c r="BW21" s="335"/>
      <c r="BX21" s="333"/>
      <c r="BY21" s="334"/>
      <c r="BZ21" s="334"/>
      <c r="CA21" s="334"/>
      <c r="CB21" s="334"/>
      <c r="CC21" s="334"/>
      <c r="CD21" s="334"/>
      <c r="CE21" s="334"/>
      <c r="CF21" s="334"/>
      <c r="CG21" s="334"/>
      <c r="CH21" s="334"/>
      <c r="CI21" s="334"/>
      <c r="CJ21" s="334"/>
      <c r="CK21" s="334"/>
      <c r="CL21" s="334"/>
      <c r="CM21" s="334"/>
      <c r="CN21" s="334"/>
      <c r="CO21" s="334"/>
      <c r="CP21" s="334"/>
      <c r="CQ21" s="334"/>
      <c r="CR21" s="335"/>
      <c r="CS21" s="333"/>
      <c r="CT21" s="334"/>
      <c r="CU21" s="334"/>
      <c r="CV21" s="355"/>
    </row>
    <row r="22" spans="1:100" s="142" customFormat="1" ht="13.5" customHeight="1">
      <c r="A22" s="345"/>
      <c r="B22" s="346"/>
      <c r="C22" s="347"/>
      <c r="D22" s="352"/>
      <c r="E22" s="346"/>
      <c r="F22" s="347"/>
      <c r="G22" s="352"/>
      <c r="H22" s="346"/>
      <c r="I22" s="346"/>
      <c r="J22" s="346"/>
      <c r="K22" s="346"/>
      <c r="L22" s="346"/>
      <c r="M22" s="346"/>
      <c r="N22" s="346"/>
      <c r="O22" s="347"/>
      <c r="P22" s="336"/>
      <c r="Q22" s="338"/>
      <c r="R22" s="336"/>
      <c r="S22" s="337"/>
      <c r="T22" s="338"/>
      <c r="U22" s="336"/>
      <c r="V22" s="337"/>
      <c r="W22" s="338"/>
      <c r="X22" s="336"/>
      <c r="Y22" s="337"/>
      <c r="Z22" s="338"/>
      <c r="AA22" s="336"/>
      <c r="AB22" s="337"/>
      <c r="AC22" s="337"/>
      <c r="AD22" s="337"/>
      <c r="AE22" s="338"/>
      <c r="AF22" s="336"/>
      <c r="AG22" s="337"/>
      <c r="AH22" s="337"/>
      <c r="AI22" s="337"/>
      <c r="AJ22" s="338"/>
      <c r="AK22" s="336"/>
      <c r="AL22" s="338"/>
      <c r="AM22" s="336"/>
      <c r="AN22" s="338"/>
      <c r="AO22" s="336"/>
      <c r="AP22" s="338"/>
      <c r="AQ22" s="336"/>
      <c r="AR22" s="338"/>
      <c r="AS22" s="336"/>
      <c r="AT22" s="338"/>
      <c r="AU22" s="336"/>
      <c r="AV22" s="338"/>
      <c r="AW22" s="336"/>
      <c r="AX22" s="338"/>
      <c r="AY22" s="336"/>
      <c r="AZ22" s="338"/>
      <c r="BA22" s="336"/>
      <c r="BB22" s="338"/>
      <c r="BC22" s="336"/>
      <c r="BD22" s="338"/>
      <c r="BE22" s="336"/>
      <c r="BF22" s="338"/>
      <c r="BG22" s="336"/>
      <c r="BH22" s="338"/>
      <c r="BI22" s="336"/>
      <c r="BJ22" s="338"/>
      <c r="BK22" s="336"/>
      <c r="BL22" s="338"/>
      <c r="BM22" s="336"/>
      <c r="BN22" s="338"/>
      <c r="BO22" s="336"/>
      <c r="BP22" s="338"/>
      <c r="BQ22" s="336"/>
      <c r="BR22" s="337"/>
      <c r="BS22" s="337"/>
      <c r="BT22" s="338"/>
      <c r="BU22" s="336"/>
      <c r="BV22" s="337"/>
      <c r="BW22" s="338"/>
      <c r="BX22" s="336"/>
      <c r="BY22" s="337"/>
      <c r="BZ22" s="337"/>
      <c r="CA22" s="337"/>
      <c r="CB22" s="337"/>
      <c r="CC22" s="337"/>
      <c r="CD22" s="337"/>
      <c r="CE22" s="337"/>
      <c r="CF22" s="337"/>
      <c r="CG22" s="337"/>
      <c r="CH22" s="337"/>
      <c r="CI22" s="337"/>
      <c r="CJ22" s="337"/>
      <c r="CK22" s="337"/>
      <c r="CL22" s="337"/>
      <c r="CM22" s="337"/>
      <c r="CN22" s="337"/>
      <c r="CO22" s="337"/>
      <c r="CP22" s="337"/>
      <c r="CQ22" s="337"/>
      <c r="CR22" s="338"/>
      <c r="CS22" s="336"/>
      <c r="CT22" s="337"/>
      <c r="CU22" s="337"/>
      <c r="CV22" s="356"/>
    </row>
    <row r="23" spans="1:100" s="142" customFormat="1" ht="13.5" customHeight="1">
      <c r="A23" s="345"/>
      <c r="B23" s="346"/>
      <c r="C23" s="347"/>
      <c r="D23" s="352"/>
      <c r="E23" s="346"/>
      <c r="F23" s="347"/>
      <c r="G23" s="352"/>
      <c r="H23" s="346"/>
      <c r="I23" s="346"/>
      <c r="J23" s="346"/>
      <c r="K23" s="346"/>
      <c r="L23" s="346"/>
      <c r="M23" s="346"/>
      <c r="N23" s="346"/>
      <c r="O23" s="347"/>
      <c r="P23" s="336"/>
      <c r="Q23" s="338"/>
      <c r="R23" s="336"/>
      <c r="S23" s="337"/>
      <c r="T23" s="338"/>
      <c r="U23" s="336"/>
      <c r="V23" s="337"/>
      <c r="W23" s="338"/>
      <c r="X23" s="336"/>
      <c r="Y23" s="337"/>
      <c r="Z23" s="338"/>
      <c r="AA23" s="336"/>
      <c r="AB23" s="337"/>
      <c r="AC23" s="337"/>
      <c r="AD23" s="337"/>
      <c r="AE23" s="338"/>
      <c r="AF23" s="336"/>
      <c r="AG23" s="337"/>
      <c r="AH23" s="337"/>
      <c r="AI23" s="337"/>
      <c r="AJ23" s="338"/>
      <c r="AK23" s="336"/>
      <c r="AL23" s="338"/>
      <c r="AM23" s="336"/>
      <c r="AN23" s="338"/>
      <c r="AO23" s="336"/>
      <c r="AP23" s="338"/>
      <c r="AQ23" s="336"/>
      <c r="AR23" s="338"/>
      <c r="AS23" s="336"/>
      <c r="AT23" s="338"/>
      <c r="AU23" s="336"/>
      <c r="AV23" s="338"/>
      <c r="AW23" s="336"/>
      <c r="AX23" s="338"/>
      <c r="AY23" s="336"/>
      <c r="AZ23" s="338"/>
      <c r="BA23" s="336"/>
      <c r="BB23" s="338"/>
      <c r="BC23" s="336"/>
      <c r="BD23" s="338"/>
      <c r="BE23" s="336"/>
      <c r="BF23" s="338"/>
      <c r="BG23" s="336"/>
      <c r="BH23" s="338"/>
      <c r="BI23" s="336"/>
      <c r="BJ23" s="338"/>
      <c r="BK23" s="336"/>
      <c r="BL23" s="338"/>
      <c r="BM23" s="336"/>
      <c r="BN23" s="338"/>
      <c r="BO23" s="336"/>
      <c r="BP23" s="338"/>
      <c r="BQ23" s="336"/>
      <c r="BR23" s="337"/>
      <c r="BS23" s="337"/>
      <c r="BT23" s="338"/>
      <c r="BU23" s="336"/>
      <c r="BV23" s="337"/>
      <c r="BW23" s="338"/>
      <c r="BX23" s="336"/>
      <c r="BY23" s="337"/>
      <c r="BZ23" s="337"/>
      <c r="CA23" s="337"/>
      <c r="CB23" s="337"/>
      <c r="CC23" s="337"/>
      <c r="CD23" s="337"/>
      <c r="CE23" s="337"/>
      <c r="CF23" s="337"/>
      <c r="CG23" s="337"/>
      <c r="CH23" s="337"/>
      <c r="CI23" s="337"/>
      <c r="CJ23" s="337"/>
      <c r="CK23" s="337"/>
      <c r="CL23" s="337"/>
      <c r="CM23" s="337"/>
      <c r="CN23" s="337"/>
      <c r="CO23" s="337"/>
      <c r="CP23" s="337"/>
      <c r="CQ23" s="337"/>
      <c r="CR23" s="338"/>
      <c r="CS23" s="336"/>
      <c r="CT23" s="337"/>
      <c r="CU23" s="337"/>
      <c r="CV23" s="356"/>
    </row>
    <row r="24" spans="1:100" s="142" customFormat="1" ht="13.5" customHeight="1" thickBot="1">
      <c r="A24" s="348"/>
      <c r="B24" s="349"/>
      <c r="C24" s="350"/>
      <c r="D24" s="353"/>
      <c r="E24" s="349"/>
      <c r="F24" s="350"/>
      <c r="G24" s="353"/>
      <c r="H24" s="349"/>
      <c r="I24" s="349"/>
      <c r="J24" s="349"/>
      <c r="K24" s="349"/>
      <c r="L24" s="349"/>
      <c r="M24" s="349"/>
      <c r="N24" s="349"/>
      <c r="O24" s="350"/>
      <c r="P24" s="339"/>
      <c r="Q24" s="341"/>
      <c r="R24" s="339"/>
      <c r="S24" s="340"/>
      <c r="T24" s="341"/>
      <c r="U24" s="339"/>
      <c r="V24" s="340"/>
      <c r="W24" s="341"/>
      <c r="X24" s="339"/>
      <c r="Y24" s="340"/>
      <c r="Z24" s="341"/>
      <c r="AA24" s="339"/>
      <c r="AB24" s="340"/>
      <c r="AC24" s="340"/>
      <c r="AD24" s="340"/>
      <c r="AE24" s="341"/>
      <c r="AF24" s="339"/>
      <c r="AG24" s="340"/>
      <c r="AH24" s="340"/>
      <c r="AI24" s="340"/>
      <c r="AJ24" s="341"/>
      <c r="AK24" s="339"/>
      <c r="AL24" s="341"/>
      <c r="AM24" s="339"/>
      <c r="AN24" s="341"/>
      <c r="AO24" s="339"/>
      <c r="AP24" s="341"/>
      <c r="AQ24" s="339"/>
      <c r="AR24" s="341"/>
      <c r="AS24" s="339"/>
      <c r="AT24" s="341"/>
      <c r="AU24" s="339"/>
      <c r="AV24" s="341"/>
      <c r="AW24" s="339"/>
      <c r="AX24" s="341"/>
      <c r="AY24" s="339"/>
      <c r="AZ24" s="341"/>
      <c r="BA24" s="339"/>
      <c r="BB24" s="341"/>
      <c r="BC24" s="339"/>
      <c r="BD24" s="341"/>
      <c r="BE24" s="339"/>
      <c r="BF24" s="341"/>
      <c r="BG24" s="339"/>
      <c r="BH24" s="341"/>
      <c r="BI24" s="339"/>
      <c r="BJ24" s="341"/>
      <c r="BK24" s="339"/>
      <c r="BL24" s="341"/>
      <c r="BM24" s="339"/>
      <c r="BN24" s="341"/>
      <c r="BO24" s="339"/>
      <c r="BP24" s="341"/>
      <c r="BQ24" s="339"/>
      <c r="BR24" s="340"/>
      <c r="BS24" s="340"/>
      <c r="BT24" s="341"/>
      <c r="BU24" s="339"/>
      <c r="BV24" s="340"/>
      <c r="BW24" s="341"/>
      <c r="BX24" s="339"/>
      <c r="BY24" s="340"/>
      <c r="BZ24" s="340"/>
      <c r="CA24" s="340"/>
      <c r="CB24" s="340"/>
      <c r="CC24" s="340"/>
      <c r="CD24" s="340"/>
      <c r="CE24" s="340"/>
      <c r="CF24" s="340"/>
      <c r="CG24" s="340"/>
      <c r="CH24" s="340"/>
      <c r="CI24" s="340"/>
      <c r="CJ24" s="340"/>
      <c r="CK24" s="340"/>
      <c r="CL24" s="340"/>
      <c r="CM24" s="340"/>
      <c r="CN24" s="340"/>
      <c r="CO24" s="340"/>
      <c r="CP24" s="340"/>
      <c r="CQ24" s="340"/>
      <c r="CR24" s="341"/>
      <c r="CS24" s="339"/>
      <c r="CT24" s="340"/>
      <c r="CU24" s="340"/>
      <c r="CV24" s="357"/>
    </row>
    <row r="25" spans="1:100" s="142" customFormat="1" ht="13.5" customHeight="1" thickTop="1">
      <c r="A25" s="342"/>
      <c r="B25" s="343"/>
      <c r="C25" s="344"/>
      <c r="D25" s="351"/>
      <c r="E25" s="343"/>
      <c r="F25" s="344"/>
      <c r="G25" s="351"/>
      <c r="H25" s="343"/>
      <c r="I25" s="343"/>
      <c r="J25" s="343"/>
      <c r="K25" s="343"/>
      <c r="L25" s="343"/>
      <c r="M25" s="343"/>
      <c r="N25" s="343"/>
      <c r="O25" s="344"/>
      <c r="P25" s="333"/>
      <c r="Q25" s="335"/>
      <c r="R25" s="333"/>
      <c r="S25" s="334"/>
      <c r="T25" s="335"/>
      <c r="U25" s="333"/>
      <c r="V25" s="334"/>
      <c r="W25" s="335"/>
      <c r="X25" s="333"/>
      <c r="Y25" s="334"/>
      <c r="Z25" s="335"/>
      <c r="AA25" s="333"/>
      <c r="AB25" s="334"/>
      <c r="AC25" s="334"/>
      <c r="AD25" s="334"/>
      <c r="AE25" s="335"/>
      <c r="AF25" s="333"/>
      <c r="AG25" s="334"/>
      <c r="AH25" s="334"/>
      <c r="AI25" s="334"/>
      <c r="AJ25" s="335"/>
      <c r="AK25" s="333"/>
      <c r="AL25" s="335"/>
      <c r="AM25" s="333"/>
      <c r="AN25" s="335"/>
      <c r="AO25" s="333"/>
      <c r="AP25" s="335"/>
      <c r="AQ25" s="333"/>
      <c r="AR25" s="335"/>
      <c r="AS25" s="333"/>
      <c r="AT25" s="335"/>
      <c r="AU25" s="333"/>
      <c r="AV25" s="335"/>
      <c r="AW25" s="333"/>
      <c r="AX25" s="335"/>
      <c r="AY25" s="333"/>
      <c r="AZ25" s="335"/>
      <c r="BA25" s="333"/>
      <c r="BB25" s="335"/>
      <c r="BC25" s="333"/>
      <c r="BD25" s="335"/>
      <c r="BE25" s="333"/>
      <c r="BF25" s="335"/>
      <c r="BG25" s="333"/>
      <c r="BH25" s="335"/>
      <c r="BI25" s="333"/>
      <c r="BJ25" s="335"/>
      <c r="BK25" s="333"/>
      <c r="BL25" s="335"/>
      <c r="BM25" s="333"/>
      <c r="BN25" s="335"/>
      <c r="BO25" s="333"/>
      <c r="BP25" s="335"/>
      <c r="BQ25" s="333"/>
      <c r="BR25" s="334"/>
      <c r="BS25" s="334"/>
      <c r="BT25" s="335"/>
      <c r="BU25" s="333"/>
      <c r="BV25" s="334"/>
      <c r="BW25" s="335"/>
      <c r="BX25" s="333"/>
      <c r="BY25" s="334"/>
      <c r="BZ25" s="334"/>
      <c r="CA25" s="334"/>
      <c r="CB25" s="334"/>
      <c r="CC25" s="334"/>
      <c r="CD25" s="334"/>
      <c r="CE25" s="334"/>
      <c r="CF25" s="334"/>
      <c r="CG25" s="334"/>
      <c r="CH25" s="334"/>
      <c r="CI25" s="334"/>
      <c r="CJ25" s="334"/>
      <c r="CK25" s="334"/>
      <c r="CL25" s="334"/>
      <c r="CM25" s="334"/>
      <c r="CN25" s="334"/>
      <c r="CO25" s="334"/>
      <c r="CP25" s="334"/>
      <c r="CQ25" s="334"/>
      <c r="CR25" s="335"/>
      <c r="CS25" s="333"/>
      <c r="CT25" s="334"/>
      <c r="CU25" s="334"/>
      <c r="CV25" s="355"/>
    </row>
    <row r="26" spans="1:100" s="142" customFormat="1" ht="13.5" customHeight="1">
      <c r="A26" s="345"/>
      <c r="B26" s="346"/>
      <c r="C26" s="347"/>
      <c r="D26" s="352"/>
      <c r="E26" s="346"/>
      <c r="F26" s="347"/>
      <c r="G26" s="352"/>
      <c r="H26" s="346"/>
      <c r="I26" s="346"/>
      <c r="J26" s="346"/>
      <c r="K26" s="346"/>
      <c r="L26" s="346"/>
      <c r="M26" s="346"/>
      <c r="N26" s="346"/>
      <c r="O26" s="347"/>
      <c r="P26" s="336"/>
      <c r="Q26" s="338"/>
      <c r="R26" s="336"/>
      <c r="S26" s="337"/>
      <c r="T26" s="338"/>
      <c r="U26" s="336"/>
      <c r="V26" s="337"/>
      <c r="W26" s="338"/>
      <c r="X26" s="336"/>
      <c r="Y26" s="337"/>
      <c r="Z26" s="338"/>
      <c r="AA26" s="336"/>
      <c r="AB26" s="337"/>
      <c r="AC26" s="337"/>
      <c r="AD26" s="337"/>
      <c r="AE26" s="338"/>
      <c r="AF26" s="336"/>
      <c r="AG26" s="337"/>
      <c r="AH26" s="337"/>
      <c r="AI26" s="337"/>
      <c r="AJ26" s="338"/>
      <c r="AK26" s="336"/>
      <c r="AL26" s="338"/>
      <c r="AM26" s="336"/>
      <c r="AN26" s="338"/>
      <c r="AO26" s="336"/>
      <c r="AP26" s="338"/>
      <c r="AQ26" s="336"/>
      <c r="AR26" s="338"/>
      <c r="AS26" s="336"/>
      <c r="AT26" s="338"/>
      <c r="AU26" s="336"/>
      <c r="AV26" s="338"/>
      <c r="AW26" s="336"/>
      <c r="AX26" s="338"/>
      <c r="AY26" s="336"/>
      <c r="AZ26" s="338"/>
      <c r="BA26" s="336"/>
      <c r="BB26" s="338"/>
      <c r="BC26" s="336"/>
      <c r="BD26" s="338"/>
      <c r="BE26" s="336"/>
      <c r="BF26" s="338"/>
      <c r="BG26" s="336"/>
      <c r="BH26" s="338"/>
      <c r="BI26" s="336"/>
      <c r="BJ26" s="338"/>
      <c r="BK26" s="336"/>
      <c r="BL26" s="338"/>
      <c r="BM26" s="336"/>
      <c r="BN26" s="338"/>
      <c r="BO26" s="336"/>
      <c r="BP26" s="338"/>
      <c r="BQ26" s="336"/>
      <c r="BR26" s="337"/>
      <c r="BS26" s="337"/>
      <c r="BT26" s="338"/>
      <c r="BU26" s="336"/>
      <c r="BV26" s="337"/>
      <c r="BW26" s="338"/>
      <c r="BX26" s="336"/>
      <c r="BY26" s="337"/>
      <c r="BZ26" s="337"/>
      <c r="CA26" s="337"/>
      <c r="CB26" s="337"/>
      <c r="CC26" s="337"/>
      <c r="CD26" s="337"/>
      <c r="CE26" s="337"/>
      <c r="CF26" s="337"/>
      <c r="CG26" s="337"/>
      <c r="CH26" s="337"/>
      <c r="CI26" s="337"/>
      <c r="CJ26" s="337"/>
      <c r="CK26" s="337"/>
      <c r="CL26" s="337"/>
      <c r="CM26" s="337"/>
      <c r="CN26" s="337"/>
      <c r="CO26" s="337"/>
      <c r="CP26" s="337"/>
      <c r="CQ26" s="337"/>
      <c r="CR26" s="338"/>
      <c r="CS26" s="336"/>
      <c r="CT26" s="337"/>
      <c r="CU26" s="337"/>
      <c r="CV26" s="356"/>
    </row>
    <row r="27" spans="1:100" s="142" customFormat="1" ht="13.5" customHeight="1">
      <c r="A27" s="345"/>
      <c r="B27" s="346"/>
      <c r="C27" s="347"/>
      <c r="D27" s="352"/>
      <c r="E27" s="346"/>
      <c r="F27" s="347"/>
      <c r="G27" s="352"/>
      <c r="H27" s="346"/>
      <c r="I27" s="346"/>
      <c r="J27" s="346"/>
      <c r="K27" s="346"/>
      <c r="L27" s="346"/>
      <c r="M27" s="346"/>
      <c r="N27" s="346"/>
      <c r="O27" s="347"/>
      <c r="P27" s="336"/>
      <c r="Q27" s="338"/>
      <c r="R27" s="336"/>
      <c r="S27" s="337"/>
      <c r="T27" s="338"/>
      <c r="U27" s="336"/>
      <c r="V27" s="337"/>
      <c r="W27" s="338"/>
      <c r="X27" s="336"/>
      <c r="Y27" s="337"/>
      <c r="Z27" s="338"/>
      <c r="AA27" s="336"/>
      <c r="AB27" s="337"/>
      <c r="AC27" s="337"/>
      <c r="AD27" s="337"/>
      <c r="AE27" s="338"/>
      <c r="AF27" s="336"/>
      <c r="AG27" s="337"/>
      <c r="AH27" s="337"/>
      <c r="AI27" s="337"/>
      <c r="AJ27" s="338"/>
      <c r="AK27" s="336"/>
      <c r="AL27" s="338"/>
      <c r="AM27" s="336"/>
      <c r="AN27" s="338"/>
      <c r="AO27" s="336"/>
      <c r="AP27" s="338"/>
      <c r="AQ27" s="336"/>
      <c r="AR27" s="338"/>
      <c r="AS27" s="336"/>
      <c r="AT27" s="338"/>
      <c r="AU27" s="336"/>
      <c r="AV27" s="338"/>
      <c r="AW27" s="336"/>
      <c r="AX27" s="338"/>
      <c r="AY27" s="336"/>
      <c r="AZ27" s="338"/>
      <c r="BA27" s="336"/>
      <c r="BB27" s="338"/>
      <c r="BC27" s="336"/>
      <c r="BD27" s="338"/>
      <c r="BE27" s="336"/>
      <c r="BF27" s="338"/>
      <c r="BG27" s="336"/>
      <c r="BH27" s="338"/>
      <c r="BI27" s="336"/>
      <c r="BJ27" s="338"/>
      <c r="BK27" s="336"/>
      <c r="BL27" s="338"/>
      <c r="BM27" s="336"/>
      <c r="BN27" s="338"/>
      <c r="BO27" s="336"/>
      <c r="BP27" s="338"/>
      <c r="BQ27" s="336"/>
      <c r="BR27" s="337"/>
      <c r="BS27" s="337"/>
      <c r="BT27" s="338"/>
      <c r="BU27" s="336"/>
      <c r="BV27" s="337"/>
      <c r="BW27" s="338"/>
      <c r="BX27" s="336"/>
      <c r="BY27" s="337"/>
      <c r="BZ27" s="337"/>
      <c r="CA27" s="337"/>
      <c r="CB27" s="337"/>
      <c r="CC27" s="337"/>
      <c r="CD27" s="337"/>
      <c r="CE27" s="337"/>
      <c r="CF27" s="337"/>
      <c r="CG27" s="337"/>
      <c r="CH27" s="337"/>
      <c r="CI27" s="337"/>
      <c r="CJ27" s="337"/>
      <c r="CK27" s="337"/>
      <c r="CL27" s="337"/>
      <c r="CM27" s="337"/>
      <c r="CN27" s="337"/>
      <c r="CO27" s="337"/>
      <c r="CP27" s="337"/>
      <c r="CQ27" s="337"/>
      <c r="CR27" s="338"/>
      <c r="CS27" s="336"/>
      <c r="CT27" s="337"/>
      <c r="CU27" s="337"/>
      <c r="CV27" s="356"/>
    </row>
    <row r="28" spans="1:100" s="142" customFormat="1" ht="13.5" customHeight="1" thickBot="1">
      <c r="A28" s="348"/>
      <c r="B28" s="349"/>
      <c r="C28" s="350"/>
      <c r="D28" s="353"/>
      <c r="E28" s="349"/>
      <c r="F28" s="350"/>
      <c r="G28" s="353"/>
      <c r="H28" s="349"/>
      <c r="I28" s="349"/>
      <c r="J28" s="349"/>
      <c r="K28" s="349"/>
      <c r="L28" s="349"/>
      <c r="M28" s="349"/>
      <c r="N28" s="349"/>
      <c r="O28" s="350"/>
      <c r="P28" s="339"/>
      <c r="Q28" s="341"/>
      <c r="R28" s="339"/>
      <c r="S28" s="340"/>
      <c r="T28" s="341"/>
      <c r="U28" s="339"/>
      <c r="V28" s="340"/>
      <c r="W28" s="341"/>
      <c r="X28" s="339"/>
      <c r="Y28" s="340"/>
      <c r="Z28" s="341"/>
      <c r="AA28" s="339"/>
      <c r="AB28" s="340"/>
      <c r="AC28" s="340"/>
      <c r="AD28" s="340"/>
      <c r="AE28" s="341"/>
      <c r="AF28" s="339"/>
      <c r="AG28" s="340"/>
      <c r="AH28" s="340"/>
      <c r="AI28" s="340"/>
      <c r="AJ28" s="341"/>
      <c r="AK28" s="339"/>
      <c r="AL28" s="341"/>
      <c r="AM28" s="339"/>
      <c r="AN28" s="341"/>
      <c r="AO28" s="339"/>
      <c r="AP28" s="341"/>
      <c r="AQ28" s="339"/>
      <c r="AR28" s="341"/>
      <c r="AS28" s="339"/>
      <c r="AT28" s="341"/>
      <c r="AU28" s="339"/>
      <c r="AV28" s="341"/>
      <c r="AW28" s="339"/>
      <c r="AX28" s="341"/>
      <c r="AY28" s="339"/>
      <c r="AZ28" s="341"/>
      <c r="BA28" s="339"/>
      <c r="BB28" s="341"/>
      <c r="BC28" s="339"/>
      <c r="BD28" s="341"/>
      <c r="BE28" s="339"/>
      <c r="BF28" s="341"/>
      <c r="BG28" s="339"/>
      <c r="BH28" s="341"/>
      <c r="BI28" s="339"/>
      <c r="BJ28" s="341"/>
      <c r="BK28" s="339"/>
      <c r="BL28" s="341"/>
      <c r="BM28" s="339"/>
      <c r="BN28" s="341"/>
      <c r="BO28" s="339"/>
      <c r="BP28" s="341"/>
      <c r="BQ28" s="339"/>
      <c r="BR28" s="340"/>
      <c r="BS28" s="340"/>
      <c r="BT28" s="341"/>
      <c r="BU28" s="339"/>
      <c r="BV28" s="340"/>
      <c r="BW28" s="341"/>
      <c r="BX28" s="339"/>
      <c r="BY28" s="340"/>
      <c r="BZ28" s="340"/>
      <c r="CA28" s="340"/>
      <c r="CB28" s="340"/>
      <c r="CC28" s="340"/>
      <c r="CD28" s="340"/>
      <c r="CE28" s="340"/>
      <c r="CF28" s="340"/>
      <c r="CG28" s="340"/>
      <c r="CH28" s="340"/>
      <c r="CI28" s="340"/>
      <c r="CJ28" s="340"/>
      <c r="CK28" s="340"/>
      <c r="CL28" s="340"/>
      <c r="CM28" s="340"/>
      <c r="CN28" s="340"/>
      <c r="CO28" s="340"/>
      <c r="CP28" s="340"/>
      <c r="CQ28" s="340"/>
      <c r="CR28" s="341"/>
      <c r="CS28" s="339"/>
      <c r="CT28" s="340"/>
      <c r="CU28" s="340"/>
      <c r="CV28" s="357"/>
    </row>
    <row r="29" spans="1:100" s="142" customFormat="1" ht="13.5" customHeight="1" thickTop="1">
      <c r="A29" s="342"/>
      <c r="B29" s="343"/>
      <c r="C29" s="344"/>
      <c r="D29" s="351"/>
      <c r="E29" s="343"/>
      <c r="F29" s="344"/>
      <c r="G29" s="351"/>
      <c r="H29" s="343"/>
      <c r="I29" s="343"/>
      <c r="J29" s="343"/>
      <c r="K29" s="343"/>
      <c r="L29" s="343"/>
      <c r="M29" s="343"/>
      <c r="N29" s="343"/>
      <c r="O29" s="344"/>
      <c r="P29" s="333"/>
      <c r="Q29" s="335"/>
      <c r="R29" s="333"/>
      <c r="S29" s="334"/>
      <c r="T29" s="335"/>
      <c r="U29" s="333"/>
      <c r="V29" s="334"/>
      <c r="W29" s="335"/>
      <c r="X29" s="333"/>
      <c r="Y29" s="334"/>
      <c r="Z29" s="335"/>
      <c r="AA29" s="333"/>
      <c r="AB29" s="334"/>
      <c r="AC29" s="334"/>
      <c r="AD29" s="334"/>
      <c r="AE29" s="335"/>
      <c r="AF29" s="333"/>
      <c r="AG29" s="334"/>
      <c r="AH29" s="334"/>
      <c r="AI29" s="334"/>
      <c r="AJ29" s="335"/>
      <c r="AK29" s="333"/>
      <c r="AL29" s="335"/>
      <c r="AM29" s="333"/>
      <c r="AN29" s="335"/>
      <c r="AO29" s="333"/>
      <c r="AP29" s="335"/>
      <c r="AQ29" s="333"/>
      <c r="AR29" s="335"/>
      <c r="AS29" s="333"/>
      <c r="AT29" s="335"/>
      <c r="AU29" s="333"/>
      <c r="AV29" s="335"/>
      <c r="AW29" s="333"/>
      <c r="AX29" s="335"/>
      <c r="AY29" s="333"/>
      <c r="AZ29" s="335"/>
      <c r="BA29" s="333"/>
      <c r="BB29" s="335"/>
      <c r="BC29" s="333"/>
      <c r="BD29" s="335"/>
      <c r="BE29" s="333"/>
      <c r="BF29" s="335"/>
      <c r="BG29" s="333"/>
      <c r="BH29" s="335"/>
      <c r="BI29" s="333"/>
      <c r="BJ29" s="335"/>
      <c r="BK29" s="333"/>
      <c r="BL29" s="335"/>
      <c r="BM29" s="333"/>
      <c r="BN29" s="335"/>
      <c r="BO29" s="333"/>
      <c r="BP29" s="335"/>
      <c r="BQ29" s="333"/>
      <c r="BR29" s="334"/>
      <c r="BS29" s="334"/>
      <c r="BT29" s="335"/>
      <c r="BU29" s="333"/>
      <c r="BV29" s="334"/>
      <c r="BW29" s="335"/>
      <c r="BX29" s="333"/>
      <c r="BY29" s="334"/>
      <c r="BZ29" s="334"/>
      <c r="CA29" s="334"/>
      <c r="CB29" s="334"/>
      <c r="CC29" s="334"/>
      <c r="CD29" s="334"/>
      <c r="CE29" s="334"/>
      <c r="CF29" s="334"/>
      <c r="CG29" s="334"/>
      <c r="CH29" s="334"/>
      <c r="CI29" s="334"/>
      <c r="CJ29" s="334"/>
      <c r="CK29" s="334"/>
      <c r="CL29" s="334"/>
      <c r="CM29" s="334"/>
      <c r="CN29" s="334"/>
      <c r="CO29" s="334"/>
      <c r="CP29" s="334"/>
      <c r="CQ29" s="334"/>
      <c r="CR29" s="335"/>
      <c r="CS29" s="333"/>
      <c r="CT29" s="334"/>
      <c r="CU29" s="334"/>
      <c r="CV29" s="355"/>
    </row>
    <row r="30" spans="1:100" s="142" customFormat="1" ht="13.5" customHeight="1">
      <c r="A30" s="345"/>
      <c r="B30" s="346"/>
      <c r="C30" s="347"/>
      <c r="D30" s="352"/>
      <c r="E30" s="346"/>
      <c r="F30" s="347"/>
      <c r="G30" s="352"/>
      <c r="H30" s="346"/>
      <c r="I30" s="346"/>
      <c r="J30" s="346"/>
      <c r="K30" s="346"/>
      <c r="L30" s="346"/>
      <c r="M30" s="346"/>
      <c r="N30" s="346"/>
      <c r="O30" s="347"/>
      <c r="P30" s="336"/>
      <c r="Q30" s="338"/>
      <c r="R30" s="336"/>
      <c r="S30" s="337"/>
      <c r="T30" s="338"/>
      <c r="U30" s="336"/>
      <c r="V30" s="337"/>
      <c r="W30" s="338"/>
      <c r="X30" s="336"/>
      <c r="Y30" s="337"/>
      <c r="Z30" s="338"/>
      <c r="AA30" s="336"/>
      <c r="AB30" s="337"/>
      <c r="AC30" s="337"/>
      <c r="AD30" s="337"/>
      <c r="AE30" s="338"/>
      <c r="AF30" s="336"/>
      <c r="AG30" s="337"/>
      <c r="AH30" s="337"/>
      <c r="AI30" s="337"/>
      <c r="AJ30" s="338"/>
      <c r="AK30" s="336"/>
      <c r="AL30" s="338"/>
      <c r="AM30" s="336"/>
      <c r="AN30" s="338"/>
      <c r="AO30" s="336"/>
      <c r="AP30" s="338"/>
      <c r="AQ30" s="336"/>
      <c r="AR30" s="338"/>
      <c r="AS30" s="336"/>
      <c r="AT30" s="338"/>
      <c r="AU30" s="336"/>
      <c r="AV30" s="338"/>
      <c r="AW30" s="336"/>
      <c r="AX30" s="338"/>
      <c r="AY30" s="336"/>
      <c r="AZ30" s="338"/>
      <c r="BA30" s="336"/>
      <c r="BB30" s="338"/>
      <c r="BC30" s="336"/>
      <c r="BD30" s="338"/>
      <c r="BE30" s="336"/>
      <c r="BF30" s="338"/>
      <c r="BG30" s="336"/>
      <c r="BH30" s="338"/>
      <c r="BI30" s="336"/>
      <c r="BJ30" s="338"/>
      <c r="BK30" s="336"/>
      <c r="BL30" s="338"/>
      <c r="BM30" s="336"/>
      <c r="BN30" s="338"/>
      <c r="BO30" s="336"/>
      <c r="BP30" s="338"/>
      <c r="BQ30" s="336"/>
      <c r="BR30" s="337"/>
      <c r="BS30" s="337"/>
      <c r="BT30" s="338"/>
      <c r="BU30" s="336"/>
      <c r="BV30" s="337"/>
      <c r="BW30" s="338"/>
      <c r="BX30" s="336"/>
      <c r="BY30" s="337"/>
      <c r="BZ30" s="337"/>
      <c r="CA30" s="337"/>
      <c r="CB30" s="337"/>
      <c r="CC30" s="337"/>
      <c r="CD30" s="337"/>
      <c r="CE30" s="337"/>
      <c r="CF30" s="337"/>
      <c r="CG30" s="337"/>
      <c r="CH30" s="337"/>
      <c r="CI30" s="337"/>
      <c r="CJ30" s="337"/>
      <c r="CK30" s="337"/>
      <c r="CL30" s="337"/>
      <c r="CM30" s="337"/>
      <c r="CN30" s="337"/>
      <c r="CO30" s="337"/>
      <c r="CP30" s="337"/>
      <c r="CQ30" s="337"/>
      <c r="CR30" s="338"/>
      <c r="CS30" s="336"/>
      <c r="CT30" s="337"/>
      <c r="CU30" s="337"/>
      <c r="CV30" s="356"/>
    </row>
    <row r="31" spans="1:100" s="142" customFormat="1" ht="13.5" customHeight="1">
      <c r="A31" s="345"/>
      <c r="B31" s="346"/>
      <c r="C31" s="347"/>
      <c r="D31" s="352"/>
      <c r="E31" s="346"/>
      <c r="F31" s="347"/>
      <c r="G31" s="352"/>
      <c r="H31" s="346"/>
      <c r="I31" s="346"/>
      <c r="J31" s="346"/>
      <c r="K31" s="346"/>
      <c r="L31" s="346"/>
      <c r="M31" s="346"/>
      <c r="N31" s="346"/>
      <c r="O31" s="347"/>
      <c r="P31" s="336"/>
      <c r="Q31" s="338"/>
      <c r="R31" s="336"/>
      <c r="S31" s="337"/>
      <c r="T31" s="338"/>
      <c r="U31" s="336"/>
      <c r="V31" s="337"/>
      <c r="W31" s="338"/>
      <c r="X31" s="336"/>
      <c r="Y31" s="337"/>
      <c r="Z31" s="338"/>
      <c r="AA31" s="336"/>
      <c r="AB31" s="337"/>
      <c r="AC31" s="337"/>
      <c r="AD31" s="337"/>
      <c r="AE31" s="338"/>
      <c r="AF31" s="336"/>
      <c r="AG31" s="337"/>
      <c r="AH31" s="337"/>
      <c r="AI31" s="337"/>
      <c r="AJ31" s="338"/>
      <c r="AK31" s="336"/>
      <c r="AL31" s="338"/>
      <c r="AM31" s="336"/>
      <c r="AN31" s="338"/>
      <c r="AO31" s="336"/>
      <c r="AP31" s="338"/>
      <c r="AQ31" s="336"/>
      <c r="AR31" s="338"/>
      <c r="AS31" s="336"/>
      <c r="AT31" s="338"/>
      <c r="AU31" s="336"/>
      <c r="AV31" s="338"/>
      <c r="AW31" s="336"/>
      <c r="AX31" s="338"/>
      <c r="AY31" s="336"/>
      <c r="AZ31" s="338"/>
      <c r="BA31" s="336"/>
      <c r="BB31" s="338"/>
      <c r="BC31" s="336"/>
      <c r="BD31" s="338"/>
      <c r="BE31" s="336"/>
      <c r="BF31" s="338"/>
      <c r="BG31" s="336"/>
      <c r="BH31" s="338"/>
      <c r="BI31" s="336"/>
      <c r="BJ31" s="338"/>
      <c r="BK31" s="336"/>
      <c r="BL31" s="338"/>
      <c r="BM31" s="336"/>
      <c r="BN31" s="338"/>
      <c r="BO31" s="336"/>
      <c r="BP31" s="338"/>
      <c r="BQ31" s="336"/>
      <c r="BR31" s="337"/>
      <c r="BS31" s="337"/>
      <c r="BT31" s="338"/>
      <c r="BU31" s="336"/>
      <c r="BV31" s="337"/>
      <c r="BW31" s="338"/>
      <c r="BX31" s="336"/>
      <c r="BY31" s="337"/>
      <c r="BZ31" s="337"/>
      <c r="CA31" s="337"/>
      <c r="CB31" s="337"/>
      <c r="CC31" s="337"/>
      <c r="CD31" s="337"/>
      <c r="CE31" s="337"/>
      <c r="CF31" s="337"/>
      <c r="CG31" s="337"/>
      <c r="CH31" s="337"/>
      <c r="CI31" s="337"/>
      <c r="CJ31" s="337"/>
      <c r="CK31" s="337"/>
      <c r="CL31" s="337"/>
      <c r="CM31" s="337"/>
      <c r="CN31" s="337"/>
      <c r="CO31" s="337"/>
      <c r="CP31" s="337"/>
      <c r="CQ31" s="337"/>
      <c r="CR31" s="338"/>
      <c r="CS31" s="336"/>
      <c r="CT31" s="337"/>
      <c r="CU31" s="337"/>
      <c r="CV31" s="356"/>
    </row>
    <row r="32" spans="1:100" s="142" customFormat="1" ht="13.5" customHeight="1" thickBot="1">
      <c r="A32" s="348"/>
      <c r="B32" s="349"/>
      <c r="C32" s="350"/>
      <c r="D32" s="353"/>
      <c r="E32" s="349"/>
      <c r="F32" s="350"/>
      <c r="G32" s="353"/>
      <c r="H32" s="349"/>
      <c r="I32" s="349"/>
      <c r="J32" s="349"/>
      <c r="K32" s="349"/>
      <c r="L32" s="349"/>
      <c r="M32" s="349"/>
      <c r="N32" s="349"/>
      <c r="O32" s="350"/>
      <c r="P32" s="339"/>
      <c r="Q32" s="341"/>
      <c r="R32" s="339"/>
      <c r="S32" s="340"/>
      <c r="T32" s="341"/>
      <c r="U32" s="339"/>
      <c r="V32" s="340"/>
      <c r="W32" s="341"/>
      <c r="X32" s="339"/>
      <c r="Y32" s="340"/>
      <c r="Z32" s="341"/>
      <c r="AA32" s="339"/>
      <c r="AB32" s="340"/>
      <c r="AC32" s="340"/>
      <c r="AD32" s="340"/>
      <c r="AE32" s="341"/>
      <c r="AF32" s="339"/>
      <c r="AG32" s="340"/>
      <c r="AH32" s="340"/>
      <c r="AI32" s="340"/>
      <c r="AJ32" s="341"/>
      <c r="AK32" s="339"/>
      <c r="AL32" s="341"/>
      <c r="AM32" s="339"/>
      <c r="AN32" s="341"/>
      <c r="AO32" s="339"/>
      <c r="AP32" s="341"/>
      <c r="AQ32" s="339"/>
      <c r="AR32" s="341"/>
      <c r="AS32" s="339"/>
      <c r="AT32" s="341"/>
      <c r="AU32" s="339"/>
      <c r="AV32" s="341"/>
      <c r="AW32" s="339"/>
      <c r="AX32" s="341"/>
      <c r="AY32" s="339"/>
      <c r="AZ32" s="341"/>
      <c r="BA32" s="339"/>
      <c r="BB32" s="341"/>
      <c r="BC32" s="339"/>
      <c r="BD32" s="341"/>
      <c r="BE32" s="339"/>
      <c r="BF32" s="341"/>
      <c r="BG32" s="339"/>
      <c r="BH32" s="341"/>
      <c r="BI32" s="339"/>
      <c r="BJ32" s="341"/>
      <c r="BK32" s="339"/>
      <c r="BL32" s="341"/>
      <c r="BM32" s="339"/>
      <c r="BN32" s="341"/>
      <c r="BO32" s="339"/>
      <c r="BP32" s="341"/>
      <c r="BQ32" s="339"/>
      <c r="BR32" s="340"/>
      <c r="BS32" s="340"/>
      <c r="BT32" s="341"/>
      <c r="BU32" s="339"/>
      <c r="BV32" s="340"/>
      <c r="BW32" s="341"/>
      <c r="BX32" s="339"/>
      <c r="BY32" s="340"/>
      <c r="BZ32" s="340"/>
      <c r="CA32" s="340"/>
      <c r="CB32" s="340"/>
      <c r="CC32" s="340"/>
      <c r="CD32" s="340"/>
      <c r="CE32" s="340"/>
      <c r="CF32" s="340"/>
      <c r="CG32" s="340"/>
      <c r="CH32" s="340"/>
      <c r="CI32" s="340"/>
      <c r="CJ32" s="340"/>
      <c r="CK32" s="340"/>
      <c r="CL32" s="340"/>
      <c r="CM32" s="340"/>
      <c r="CN32" s="340"/>
      <c r="CO32" s="340"/>
      <c r="CP32" s="340"/>
      <c r="CQ32" s="340"/>
      <c r="CR32" s="341"/>
      <c r="CS32" s="339"/>
      <c r="CT32" s="340"/>
      <c r="CU32" s="340"/>
      <c r="CV32" s="357"/>
    </row>
    <row r="33" spans="1:100" s="142" customFormat="1" ht="13.5" customHeight="1" thickTop="1">
      <c r="A33" s="342"/>
      <c r="B33" s="343"/>
      <c r="C33" s="344"/>
      <c r="D33" s="351"/>
      <c r="E33" s="343"/>
      <c r="F33" s="344"/>
      <c r="G33" s="351"/>
      <c r="H33" s="343"/>
      <c r="I33" s="343"/>
      <c r="J33" s="343"/>
      <c r="K33" s="343"/>
      <c r="L33" s="343"/>
      <c r="M33" s="343"/>
      <c r="N33" s="343"/>
      <c r="O33" s="344"/>
      <c r="P33" s="333"/>
      <c r="Q33" s="335"/>
      <c r="R33" s="333"/>
      <c r="S33" s="334"/>
      <c r="T33" s="335"/>
      <c r="U33" s="333"/>
      <c r="V33" s="334"/>
      <c r="W33" s="335"/>
      <c r="X33" s="333"/>
      <c r="Y33" s="334"/>
      <c r="Z33" s="335"/>
      <c r="AA33" s="333"/>
      <c r="AB33" s="334"/>
      <c r="AC33" s="334"/>
      <c r="AD33" s="334"/>
      <c r="AE33" s="335"/>
      <c r="AF33" s="333"/>
      <c r="AG33" s="334"/>
      <c r="AH33" s="334"/>
      <c r="AI33" s="334"/>
      <c r="AJ33" s="335"/>
      <c r="AK33" s="333"/>
      <c r="AL33" s="335"/>
      <c r="AM33" s="333"/>
      <c r="AN33" s="335"/>
      <c r="AO33" s="333"/>
      <c r="AP33" s="335"/>
      <c r="AQ33" s="333"/>
      <c r="AR33" s="335"/>
      <c r="AS33" s="333"/>
      <c r="AT33" s="335"/>
      <c r="AU33" s="333"/>
      <c r="AV33" s="335"/>
      <c r="AW33" s="333"/>
      <c r="AX33" s="335"/>
      <c r="AY33" s="333"/>
      <c r="AZ33" s="335"/>
      <c r="BA33" s="333"/>
      <c r="BB33" s="335"/>
      <c r="BC33" s="333"/>
      <c r="BD33" s="335"/>
      <c r="BE33" s="333"/>
      <c r="BF33" s="335"/>
      <c r="BG33" s="333"/>
      <c r="BH33" s="335"/>
      <c r="BI33" s="333"/>
      <c r="BJ33" s="335"/>
      <c r="BK33" s="333"/>
      <c r="BL33" s="335"/>
      <c r="BM33" s="333"/>
      <c r="BN33" s="335"/>
      <c r="BO33" s="333"/>
      <c r="BP33" s="335"/>
      <c r="BQ33" s="333"/>
      <c r="BR33" s="334"/>
      <c r="BS33" s="334"/>
      <c r="BT33" s="335"/>
      <c r="BU33" s="333"/>
      <c r="BV33" s="334"/>
      <c r="BW33" s="335"/>
      <c r="BX33" s="333"/>
      <c r="BY33" s="334"/>
      <c r="BZ33" s="334"/>
      <c r="CA33" s="334"/>
      <c r="CB33" s="334"/>
      <c r="CC33" s="334"/>
      <c r="CD33" s="334"/>
      <c r="CE33" s="334"/>
      <c r="CF33" s="334"/>
      <c r="CG33" s="334"/>
      <c r="CH33" s="334"/>
      <c r="CI33" s="334"/>
      <c r="CJ33" s="334"/>
      <c r="CK33" s="334"/>
      <c r="CL33" s="334"/>
      <c r="CM33" s="334"/>
      <c r="CN33" s="334"/>
      <c r="CO33" s="334"/>
      <c r="CP33" s="334"/>
      <c r="CQ33" s="334"/>
      <c r="CR33" s="335"/>
      <c r="CS33" s="333"/>
      <c r="CT33" s="334"/>
      <c r="CU33" s="334"/>
      <c r="CV33" s="355"/>
    </row>
    <row r="34" spans="1:100" s="142" customFormat="1" ht="13.5" customHeight="1">
      <c r="A34" s="345"/>
      <c r="B34" s="346"/>
      <c r="C34" s="347"/>
      <c r="D34" s="352"/>
      <c r="E34" s="346"/>
      <c r="F34" s="347"/>
      <c r="G34" s="352"/>
      <c r="H34" s="346"/>
      <c r="I34" s="346"/>
      <c r="J34" s="346"/>
      <c r="K34" s="346"/>
      <c r="L34" s="346"/>
      <c r="M34" s="346"/>
      <c r="N34" s="346"/>
      <c r="O34" s="347"/>
      <c r="P34" s="336"/>
      <c r="Q34" s="338"/>
      <c r="R34" s="336"/>
      <c r="S34" s="337"/>
      <c r="T34" s="338"/>
      <c r="U34" s="336"/>
      <c r="V34" s="337"/>
      <c r="W34" s="338"/>
      <c r="X34" s="336"/>
      <c r="Y34" s="337"/>
      <c r="Z34" s="338"/>
      <c r="AA34" s="336"/>
      <c r="AB34" s="337"/>
      <c r="AC34" s="337"/>
      <c r="AD34" s="337"/>
      <c r="AE34" s="338"/>
      <c r="AF34" s="336"/>
      <c r="AG34" s="337"/>
      <c r="AH34" s="337"/>
      <c r="AI34" s="337"/>
      <c r="AJ34" s="338"/>
      <c r="AK34" s="336"/>
      <c r="AL34" s="338"/>
      <c r="AM34" s="336"/>
      <c r="AN34" s="338"/>
      <c r="AO34" s="336"/>
      <c r="AP34" s="338"/>
      <c r="AQ34" s="336"/>
      <c r="AR34" s="338"/>
      <c r="AS34" s="336"/>
      <c r="AT34" s="338"/>
      <c r="AU34" s="336"/>
      <c r="AV34" s="338"/>
      <c r="AW34" s="336"/>
      <c r="AX34" s="338"/>
      <c r="AY34" s="336"/>
      <c r="AZ34" s="338"/>
      <c r="BA34" s="336"/>
      <c r="BB34" s="338"/>
      <c r="BC34" s="336"/>
      <c r="BD34" s="338"/>
      <c r="BE34" s="336"/>
      <c r="BF34" s="338"/>
      <c r="BG34" s="336"/>
      <c r="BH34" s="338"/>
      <c r="BI34" s="336"/>
      <c r="BJ34" s="338"/>
      <c r="BK34" s="336"/>
      <c r="BL34" s="338"/>
      <c r="BM34" s="336"/>
      <c r="BN34" s="338"/>
      <c r="BO34" s="336"/>
      <c r="BP34" s="338"/>
      <c r="BQ34" s="336"/>
      <c r="BR34" s="337"/>
      <c r="BS34" s="337"/>
      <c r="BT34" s="338"/>
      <c r="BU34" s="336"/>
      <c r="BV34" s="337"/>
      <c r="BW34" s="338"/>
      <c r="BX34" s="336"/>
      <c r="BY34" s="337"/>
      <c r="BZ34" s="337"/>
      <c r="CA34" s="337"/>
      <c r="CB34" s="337"/>
      <c r="CC34" s="337"/>
      <c r="CD34" s="337"/>
      <c r="CE34" s="337"/>
      <c r="CF34" s="337"/>
      <c r="CG34" s="337"/>
      <c r="CH34" s="337"/>
      <c r="CI34" s="337"/>
      <c r="CJ34" s="337"/>
      <c r="CK34" s="337"/>
      <c r="CL34" s="337"/>
      <c r="CM34" s="337"/>
      <c r="CN34" s="337"/>
      <c r="CO34" s="337"/>
      <c r="CP34" s="337"/>
      <c r="CQ34" s="337"/>
      <c r="CR34" s="338"/>
      <c r="CS34" s="336"/>
      <c r="CT34" s="337"/>
      <c r="CU34" s="337"/>
      <c r="CV34" s="356"/>
    </row>
    <row r="35" spans="1:100" s="142" customFormat="1" ht="13.5" customHeight="1">
      <c r="A35" s="345"/>
      <c r="B35" s="346"/>
      <c r="C35" s="347"/>
      <c r="D35" s="352"/>
      <c r="E35" s="346"/>
      <c r="F35" s="347"/>
      <c r="G35" s="352"/>
      <c r="H35" s="346"/>
      <c r="I35" s="346"/>
      <c r="J35" s="346"/>
      <c r="K35" s="346"/>
      <c r="L35" s="346"/>
      <c r="M35" s="346"/>
      <c r="N35" s="346"/>
      <c r="O35" s="347"/>
      <c r="P35" s="336"/>
      <c r="Q35" s="338"/>
      <c r="R35" s="336"/>
      <c r="S35" s="337"/>
      <c r="T35" s="338"/>
      <c r="U35" s="336"/>
      <c r="V35" s="337"/>
      <c r="W35" s="338"/>
      <c r="X35" s="336"/>
      <c r="Y35" s="337"/>
      <c r="Z35" s="338"/>
      <c r="AA35" s="336"/>
      <c r="AB35" s="337"/>
      <c r="AC35" s="337"/>
      <c r="AD35" s="337"/>
      <c r="AE35" s="338"/>
      <c r="AF35" s="336"/>
      <c r="AG35" s="337"/>
      <c r="AH35" s="337"/>
      <c r="AI35" s="337"/>
      <c r="AJ35" s="338"/>
      <c r="AK35" s="336"/>
      <c r="AL35" s="338"/>
      <c r="AM35" s="336"/>
      <c r="AN35" s="338"/>
      <c r="AO35" s="336"/>
      <c r="AP35" s="338"/>
      <c r="AQ35" s="336"/>
      <c r="AR35" s="338"/>
      <c r="AS35" s="336"/>
      <c r="AT35" s="338"/>
      <c r="AU35" s="336"/>
      <c r="AV35" s="338"/>
      <c r="AW35" s="336"/>
      <c r="AX35" s="338"/>
      <c r="AY35" s="336"/>
      <c r="AZ35" s="338"/>
      <c r="BA35" s="336"/>
      <c r="BB35" s="338"/>
      <c r="BC35" s="336"/>
      <c r="BD35" s="338"/>
      <c r="BE35" s="336"/>
      <c r="BF35" s="338"/>
      <c r="BG35" s="336"/>
      <c r="BH35" s="338"/>
      <c r="BI35" s="336"/>
      <c r="BJ35" s="338"/>
      <c r="BK35" s="336"/>
      <c r="BL35" s="338"/>
      <c r="BM35" s="336"/>
      <c r="BN35" s="338"/>
      <c r="BO35" s="336"/>
      <c r="BP35" s="338"/>
      <c r="BQ35" s="336"/>
      <c r="BR35" s="337"/>
      <c r="BS35" s="337"/>
      <c r="BT35" s="338"/>
      <c r="BU35" s="336"/>
      <c r="BV35" s="337"/>
      <c r="BW35" s="338"/>
      <c r="BX35" s="336"/>
      <c r="BY35" s="337"/>
      <c r="BZ35" s="337"/>
      <c r="CA35" s="337"/>
      <c r="CB35" s="337"/>
      <c r="CC35" s="337"/>
      <c r="CD35" s="337"/>
      <c r="CE35" s="337"/>
      <c r="CF35" s="337"/>
      <c r="CG35" s="337"/>
      <c r="CH35" s="337"/>
      <c r="CI35" s="337"/>
      <c r="CJ35" s="337"/>
      <c r="CK35" s="337"/>
      <c r="CL35" s="337"/>
      <c r="CM35" s="337"/>
      <c r="CN35" s="337"/>
      <c r="CO35" s="337"/>
      <c r="CP35" s="337"/>
      <c r="CQ35" s="337"/>
      <c r="CR35" s="338"/>
      <c r="CS35" s="336"/>
      <c r="CT35" s="337"/>
      <c r="CU35" s="337"/>
      <c r="CV35" s="356"/>
    </row>
    <row r="36" spans="1:100" s="142" customFormat="1" ht="13.5" customHeight="1">
      <c r="A36" s="348"/>
      <c r="B36" s="349"/>
      <c r="C36" s="350"/>
      <c r="D36" s="353"/>
      <c r="E36" s="349"/>
      <c r="F36" s="350"/>
      <c r="G36" s="353"/>
      <c r="H36" s="349"/>
      <c r="I36" s="349"/>
      <c r="J36" s="349"/>
      <c r="K36" s="349"/>
      <c r="L36" s="349"/>
      <c r="M36" s="349"/>
      <c r="N36" s="349"/>
      <c r="O36" s="350"/>
      <c r="P36" s="339"/>
      <c r="Q36" s="341"/>
      <c r="R36" s="339"/>
      <c r="S36" s="340"/>
      <c r="T36" s="341"/>
      <c r="U36" s="339"/>
      <c r="V36" s="340"/>
      <c r="W36" s="341"/>
      <c r="X36" s="339"/>
      <c r="Y36" s="340"/>
      <c r="Z36" s="341"/>
      <c r="AA36" s="339"/>
      <c r="AB36" s="340"/>
      <c r="AC36" s="340"/>
      <c r="AD36" s="340"/>
      <c r="AE36" s="341"/>
      <c r="AF36" s="339"/>
      <c r="AG36" s="340"/>
      <c r="AH36" s="340"/>
      <c r="AI36" s="340"/>
      <c r="AJ36" s="341"/>
      <c r="AK36" s="339"/>
      <c r="AL36" s="341"/>
      <c r="AM36" s="339"/>
      <c r="AN36" s="341"/>
      <c r="AO36" s="339"/>
      <c r="AP36" s="341"/>
      <c r="AQ36" s="339"/>
      <c r="AR36" s="341"/>
      <c r="AS36" s="339"/>
      <c r="AT36" s="341"/>
      <c r="AU36" s="339"/>
      <c r="AV36" s="341"/>
      <c r="AW36" s="339"/>
      <c r="AX36" s="341"/>
      <c r="AY36" s="339"/>
      <c r="AZ36" s="341"/>
      <c r="BA36" s="339"/>
      <c r="BB36" s="341"/>
      <c r="BC36" s="339"/>
      <c r="BD36" s="341"/>
      <c r="BE36" s="339"/>
      <c r="BF36" s="341"/>
      <c r="BG36" s="339"/>
      <c r="BH36" s="341"/>
      <c r="BI36" s="339"/>
      <c r="BJ36" s="341"/>
      <c r="BK36" s="339"/>
      <c r="BL36" s="341"/>
      <c r="BM36" s="339"/>
      <c r="BN36" s="341"/>
      <c r="BO36" s="339"/>
      <c r="BP36" s="341"/>
      <c r="BQ36" s="339"/>
      <c r="BR36" s="340"/>
      <c r="BS36" s="340"/>
      <c r="BT36" s="341"/>
      <c r="BU36" s="339"/>
      <c r="BV36" s="340"/>
      <c r="BW36" s="341"/>
      <c r="BX36" s="339"/>
      <c r="BY36" s="340"/>
      <c r="BZ36" s="340"/>
      <c r="CA36" s="340"/>
      <c r="CB36" s="340"/>
      <c r="CC36" s="340"/>
      <c r="CD36" s="340"/>
      <c r="CE36" s="340"/>
      <c r="CF36" s="340"/>
      <c r="CG36" s="340"/>
      <c r="CH36" s="340"/>
      <c r="CI36" s="340"/>
      <c r="CJ36" s="340"/>
      <c r="CK36" s="340"/>
      <c r="CL36" s="340"/>
      <c r="CM36" s="340"/>
      <c r="CN36" s="340"/>
      <c r="CO36" s="340"/>
      <c r="CP36" s="340"/>
      <c r="CQ36" s="340"/>
      <c r="CR36" s="341"/>
      <c r="CS36" s="339"/>
      <c r="CT36" s="340"/>
      <c r="CU36" s="340"/>
      <c r="CV36" s="357"/>
    </row>
  </sheetData>
  <mergeCells count="239">
    <mergeCell ref="BO33:BP36"/>
    <mergeCell ref="BQ33:BT36"/>
    <mergeCell ref="BU33:BW36"/>
    <mergeCell ref="BX33:CR36"/>
    <mergeCell ref="CS33:CV36"/>
    <mergeCell ref="BC33:BD36"/>
    <mergeCell ref="BE33:BF36"/>
    <mergeCell ref="BG33:BH36"/>
    <mergeCell ref="BI33:BJ36"/>
    <mergeCell ref="BK33:BL36"/>
    <mergeCell ref="BM33:BN36"/>
    <mergeCell ref="AW33:AX36"/>
    <mergeCell ref="AY33:AZ36"/>
    <mergeCell ref="BA33:BB36"/>
    <mergeCell ref="X33:Z36"/>
    <mergeCell ref="AA33:AE36"/>
    <mergeCell ref="AF33:AJ36"/>
    <mergeCell ref="AK33:AL36"/>
    <mergeCell ref="AM33:AN36"/>
    <mergeCell ref="AO33:AP36"/>
    <mergeCell ref="A33:C36"/>
    <mergeCell ref="D33:F36"/>
    <mergeCell ref="G33:O36"/>
    <mergeCell ref="P33:Q36"/>
    <mergeCell ref="R33:T36"/>
    <mergeCell ref="U33:W36"/>
    <mergeCell ref="BM29:BN32"/>
    <mergeCell ref="BO29:BP32"/>
    <mergeCell ref="BQ29:BT32"/>
    <mergeCell ref="AO29:AP32"/>
    <mergeCell ref="AQ29:AR32"/>
    <mergeCell ref="AS29:AT32"/>
    <mergeCell ref="AU29:AV32"/>
    <mergeCell ref="AW29:AX32"/>
    <mergeCell ref="AY29:AZ32"/>
    <mergeCell ref="U29:W32"/>
    <mergeCell ref="X29:Z32"/>
    <mergeCell ref="AA29:AE32"/>
    <mergeCell ref="AF29:AJ32"/>
    <mergeCell ref="AK29:AL32"/>
    <mergeCell ref="AM29:AN32"/>
    <mergeCell ref="AQ33:AR36"/>
    <mergeCell ref="AS33:AT36"/>
    <mergeCell ref="AU33:AV36"/>
    <mergeCell ref="BU29:BW32"/>
    <mergeCell ref="BX29:CR32"/>
    <mergeCell ref="CS29:CV32"/>
    <mergeCell ref="BA29:BB32"/>
    <mergeCell ref="BC29:BD32"/>
    <mergeCell ref="BE29:BF32"/>
    <mergeCell ref="BG29:BH32"/>
    <mergeCell ref="BI29:BJ32"/>
    <mergeCell ref="BK29:BL32"/>
    <mergeCell ref="BO25:BP28"/>
    <mergeCell ref="BQ25:BT28"/>
    <mergeCell ref="BU25:BW28"/>
    <mergeCell ref="BX25:CR28"/>
    <mergeCell ref="CS25:CV28"/>
    <mergeCell ref="A29:C32"/>
    <mergeCell ref="D29:F32"/>
    <mergeCell ref="G29:O32"/>
    <mergeCell ref="P29:Q32"/>
    <mergeCell ref="R29:T32"/>
    <mergeCell ref="BC25:BD28"/>
    <mergeCell ref="BE25:BF28"/>
    <mergeCell ref="BG25:BH28"/>
    <mergeCell ref="BI25:BJ28"/>
    <mergeCell ref="BK25:BL28"/>
    <mergeCell ref="BM25:BN28"/>
    <mergeCell ref="AQ25:AR28"/>
    <mergeCell ref="AS25:AT28"/>
    <mergeCell ref="AU25:AV28"/>
    <mergeCell ref="AW25:AX28"/>
    <mergeCell ref="AY25:AZ28"/>
    <mergeCell ref="BA25:BB28"/>
    <mergeCell ref="X25:Z28"/>
    <mergeCell ref="AA25:AE28"/>
    <mergeCell ref="AF25:AJ28"/>
    <mergeCell ref="AK25:AL28"/>
    <mergeCell ref="AM25:AN28"/>
    <mergeCell ref="AO25:AP28"/>
    <mergeCell ref="A25:C28"/>
    <mergeCell ref="D25:F28"/>
    <mergeCell ref="G25:O28"/>
    <mergeCell ref="P25:Q28"/>
    <mergeCell ref="R25:T28"/>
    <mergeCell ref="U25:W28"/>
    <mergeCell ref="BM21:BN24"/>
    <mergeCell ref="BO21:BP24"/>
    <mergeCell ref="BQ21:BT24"/>
    <mergeCell ref="BU21:BW24"/>
    <mergeCell ref="BX21:CR24"/>
    <mergeCell ref="CS21:CV24"/>
    <mergeCell ref="BA21:BB24"/>
    <mergeCell ref="BC21:BD24"/>
    <mergeCell ref="BE21:BF24"/>
    <mergeCell ref="BG21:BH24"/>
    <mergeCell ref="BI21:BJ24"/>
    <mergeCell ref="BK21:BL24"/>
    <mergeCell ref="AO21:AP24"/>
    <mergeCell ref="AQ21:AR24"/>
    <mergeCell ref="AS21:AT24"/>
    <mergeCell ref="AU21:AV24"/>
    <mergeCell ref="AW21:AX24"/>
    <mergeCell ref="AY21:AZ24"/>
    <mergeCell ref="U21:W24"/>
    <mergeCell ref="X21:Z24"/>
    <mergeCell ref="AA21:AE24"/>
    <mergeCell ref="AF21:AJ24"/>
    <mergeCell ref="AK21:AL24"/>
    <mergeCell ref="AM21:AN24"/>
    <mergeCell ref="BO17:BP20"/>
    <mergeCell ref="BQ17:BT20"/>
    <mergeCell ref="BU17:BW20"/>
    <mergeCell ref="BX17:CR20"/>
    <mergeCell ref="CS17:CV20"/>
    <mergeCell ref="A21:C24"/>
    <mergeCell ref="D21:F24"/>
    <mergeCell ref="G21:O24"/>
    <mergeCell ref="P21:Q24"/>
    <mergeCell ref="R21:T24"/>
    <mergeCell ref="BC17:BD20"/>
    <mergeCell ref="BE17:BF20"/>
    <mergeCell ref="BG17:BH20"/>
    <mergeCell ref="BI17:BJ20"/>
    <mergeCell ref="BK17:BL20"/>
    <mergeCell ref="BM17:BN20"/>
    <mergeCell ref="AQ17:AR20"/>
    <mergeCell ref="AS17:AT20"/>
    <mergeCell ref="AU17:AV20"/>
    <mergeCell ref="AW17:AX20"/>
    <mergeCell ref="AY17:AZ20"/>
    <mergeCell ref="BA17:BB20"/>
    <mergeCell ref="X17:Z20"/>
    <mergeCell ref="AA17:AE20"/>
    <mergeCell ref="AF17:AJ20"/>
    <mergeCell ref="AK17:AL20"/>
    <mergeCell ref="AM17:AN20"/>
    <mergeCell ref="AO17:AP20"/>
    <mergeCell ref="A17:C20"/>
    <mergeCell ref="D17:F20"/>
    <mergeCell ref="G17:O20"/>
    <mergeCell ref="P17:Q20"/>
    <mergeCell ref="R17:T20"/>
    <mergeCell ref="U17:W20"/>
    <mergeCell ref="BM13:BN16"/>
    <mergeCell ref="BO13:BP16"/>
    <mergeCell ref="BQ13:BT16"/>
    <mergeCell ref="BU13:BW16"/>
    <mergeCell ref="BX13:CR16"/>
    <mergeCell ref="CS13:CV16"/>
    <mergeCell ref="BA13:BB16"/>
    <mergeCell ref="BC13:BD16"/>
    <mergeCell ref="BE13:BF16"/>
    <mergeCell ref="BG13:BH16"/>
    <mergeCell ref="BI13:BJ16"/>
    <mergeCell ref="BK13:BL16"/>
    <mergeCell ref="AO13:AP16"/>
    <mergeCell ref="AQ13:AR16"/>
    <mergeCell ref="AS13:AT16"/>
    <mergeCell ref="AU13:AV16"/>
    <mergeCell ref="AW13:AX16"/>
    <mergeCell ref="AY13:AZ16"/>
    <mergeCell ref="U13:W16"/>
    <mergeCell ref="X13:Z16"/>
    <mergeCell ref="AA13:AE16"/>
    <mergeCell ref="AF13:AJ16"/>
    <mergeCell ref="AK13:AL16"/>
    <mergeCell ref="AM13:AN16"/>
    <mergeCell ref="BO9:BP12"/>
    <mergeCell ref="BQ9:BT12"/>
    <mergeCell ref="BU9:BW12"/>
    <mergeCell ref="BX9:CR12"/>
    <mergeCell ref="CS9:CV12"/>
    <mergeCell ref="A13:C16"/>
    <mergeCell ref="D13:F16"/>
    <mergeCell ref="G13:O16"/>
    <mergeCell ref="P13:Q16"/>
    <mergeCell ref="R13:T16"/>
    <mergeCell ref="BC9:BD12"/>
    <mergeCell ref="BE9:BF12"/>
    <mergeCell ref="BG9:BH12"/>
    <mergeCell ref="BI9:BJ12"/>
    <mergeCell ref="BK9:BL12"/>
    <mergeCell ref="BM9:BN12"/>
    <mergeCell ref="AQ9:AR12"/>
    <mergeCell ref="AS9:AT12"/>
    <mergeCell ref="AU9:AV12"/>
    <mergeCell ref="AW9:AX12"/>
    <mergeCell ref="AY9:AZ12"/>
    <mergeCell ref="BA9:BB12"/>
    <mergeCell ref="X9:Z12"/>
    <mergeCell ref="AA9:AE12"/>
    <mergeCell ref="AF9:AJ12"/>
    <mergeCell ref="AK9:AL12"/>
    <mergeCell ref="AM9:AN12"/>
    <mergeCell ref="AO9:AP12"/>
    <mergeCell ref="BI8:BJ8"/>
    <mergeCell ref="BK8:BL8"/>
    <mergeCell ref="BM8:BN8"/>
    <mergeCell ref="BO8:BP8"/>
    <mergeCell ref="A9:C12"/>
    <mergeCell ref="D9:F12"/>
    <mergeCell ref="G9:O12"/>
    <mergeCell ref="P9:Q12"/>
    <mergeCell ref="R9:T12"/>
    <mergeCell ref="U9:W12"/>
    <mergeCell ref="AW8:AX8"/>
    <mergeCell ref="AY8:AZ8"/>
    <mergeCell ref="BA8:BB8"/>
    <mergeCell ref="BC8:BD8"/>
    <mergeCell ref="BE8:BF8"/>
    <mergeCell ref="BG8:BH8"/>
    <mergeCell ref="AK8:AL8"/>
    <mergeCell ref="AM8:AN8"/>
    <mergeCell ref="AO8:AP8"/>
    <mergeCell ref="AQ8:AR8"/>
    <mergeCell ref="A3:Z4"/>
    <mergeCell ref="A5:C8"/>
    <mergeCell ref="D5:F8"/>
    <mergeCell ref="G5:O8"/>
    <mergeCell ref="P5:BT5"/>
    <mergeCell ref="BU5:CV5"/>
    <mergeCell ref="P6:Q8"/>
    <mergeCell ref="R6:T8"/>
    <mergeCell ref="U6:W8"/>
    <mergeCell ref="X6:Z8"/>
    <mergeCell ref="AS8:AT8"/>
    <mergeCell ref="AU8:AV8"/>
    <mergeCell ref="AA6:AJ6"/>
    <mergeCell ref="AK6:BP6"/>
    <mergeCell ref="BQ6:BT8"/>
    <mergeCell ref="BU6:BW8"/>
    <mergeCell ref="BX6:CR8"/>
    <mergeCell ref="CS6:CV8"/>
    <mergeCell ref="AA7:AE8"/>
    <mergeCell ref="AF7:AJ8"/>
    <mergeCell ref="AK7:AX7"/>
    <mergeCell ref="AY7:BP7"/>
  </mergeCells>
  <phoneticPr fontId="6"/>
  <pageMargins left="0.7" right="0.7" top="0.75" bottom="0.75" header="0.3" footer="0.3"/>
  <pageSetup paperSize="9" scale="56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1CDD7-0EEA-41AE-829B-2E77B3E8C177}">
  <dimension ref="A1:AB38"/>
  <sheetViews>
    <sheetView showGridLines="0" view="pageBreakPreview" zoomScaleNormal="100" zoomScaleSheetLayoutView="100" workbookViewId="0">
      <selection activeCell="A7" sqref="A7"/>
    </sheetView>
  </sheetViews>
  <sheetFormatPr defaultRowHeight="18.75"/>
  <cols>
    <col min="1" max="1" width="14.125" customWidth="1"/>
    <col min="2" max="2" width="15.875" customWidth="1"/>
    <col min="3" max="3" width="46.5" customWidth="1"/>
    <col min="4" max="4" width="25.75" customWidth="1"/>
    <col min="5" max="26" width="2.125" style="69" customWidth="1"/>
    <col min="27" max="27" width="2.125" style="69" hidden="1" customWidth="1"/>
    <col min="28" max="28" width="1.875" style="69" hidden="1" customWidth="1"/>
  </cols>
  <sheetData>
    <row r="1" spans="1:28">
      <c r="D1" s="143" t="s">
        <v>200</v>
      </c>
    </row>
    <row r="2" spans="1:28" ht="21" customHeight="1" thickBot="1"/>
    <row r="3" spans="1:28" ht="18.75" customHeight="1">
      <c r="A3" s="212" t="s">
        <v>201</v>
      </c>
      <c r="B3" s="212"/>
      <c r="C3" s="212"/>
      <c r="D3" s="144"/>
      <c r="E3" s="367" t="s">
        <v>7</v>
      </c>
      <c r="F3" s="368"/>
      <c r="G3" s="368"/>
      <c r="H3" s="368"/>
      <c r="I3" s="368"/>
      <c r="J3" s="368"/>
      <c r="K3" s="218" t="s">
        <v>171</v>
      </c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20"/>
    </row>
    <row r="4" spans="1:28" ht="18.75" customHeight="1" thickBot="1">
      <c r="A4" s="212"/>
      <c r="B4" s="212"/>
      <c r="C4" s="212"/>
      <c r="D4" s="144"/>
      <c r="E4" s="369" t="s">
        <v>94</v>
      </c>
      <c r="F4" s="370"/>
      <c r="G4" s="370"/>
      <c r="H4" s="370"/>
      <c r="I4" s="370"/>
      <c r="J4" s="370"/>
      <c r="K4" s="371" t="s">
        <v>202</v>
      </c>
      <c r="L4" s="372"/>
      <c r="M4" s="372"/>
      <c r="N4" s="372"/>
      <c r="O4" s="372"/>
      <c r="P4" s="372"/>
      <c r="Q4" s="372"/>
      <c r="R4" s="372"/>
      <c r="S4" s="372"/>
      <c r="T4" s="372"/>
      <c r="U4" s="372"/>
      <c r="V4" s="372"/>
      <c r="W4" s="372"/>
      <c r="X4" s="372"/>
      <c r="Y4" s="372"/>
      <c r="Z4" s="372"/>
      <c r="AA4" s="372"/>
      <c r="AB4" s="373"/>
    </row>
    <row r="5" spans="1:28" ht="19.5" thickBot="1">
      <c r="A5" s="173" t="s">
        <v>203</v>
      </c>
      <c r="B5" s="174" t="s">
        <v>204</v>
      </c>
      <c r="C5" s="174" t="s">
        <v>205</v>
      </c>
      <c r="D5" s="175" t="s">
        <v>206</v>
      </c>
      <c r="E5" s="176" t="s">
        <v>340</v>
      </c>
      <c r="F5" s="175"/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  <c r="AA5" s="175"/>
      <c r="AB5" s="175"/>
    </row>
    <row r="6" spans="1:28" ht="19.5" customHeight="1" thickTop="1">
      <c r="A6" s="145" t="s">
        <v>207</v>
      </c>
      <c r="B6" s="146">
        <v>5</v>
      </c>
      <c r="C6" s="147" t="s">
        <v>208</v>
      </c>
      <c r="D6" s="147" t="s">
        <v>209</v>
      </c>
      <c r="E6" s="364"/>
      <c r="F6" s="365"/>
      <c r="G6" s="365"/>
      <c r="H6" s="365"/>
      <c r="I6" s="365"/>
      <c r="J6" s="365"/>
      <c r="K6" s="365"/>
      <c r="L6" s="365"/>
      <c r="M6" s="365"/>
      <c r="N6" s="365"/>
      <c r="O6" s="365"/>
      <c r="P6" s="365"/>
      <c r="Q6" s="365"/>
      <c r="R6" s="365"/>
      <c r="S6" s="365"/>
      <c r="T6" s="365"/>
      <c r="U6" s="365"/>
      <c r="V6" s="365"/>
      <c r="W6" s="365"/>
      <c r="X6" s="365"/>
      <c r="Y6" s="365"/>
      <c r="Z6" s="365"/>
      <c r="AA6" s="365"/>
      <c r="AB6" s="366"/>
    </row>
    <row r="7" spans="1:28">
      <c r="A7" s="145" t="s">
        <v>379</v>
      </c>
      <c r="B7" s="146" t="s">
        <v>378</v>
      </c>
      <c r="C7" s="147" t="s">
        <v>380</v>
      </c>
      <c r="D7" s="147" t="s">
        <v>381</v>
      </c>
      <c r="E7" s="358"/>
      <c r="F7" s="359"/>
      <c r="G7" s="359"/>
      <c r="H7" s="359"/>
      <c r="I7" s="359"/>
      <c r="J7" s="359"/>
      <c r="K7" s="359"/>
      <c r="L7" s="359"/>
      <c r="M7" s="359"/>
      <c r="N7" s="359"/>
      <c r="O7" s="359"/>
      <c r="P7" s="359"/>
      <c r="Q7" s="359"/>
      <c r="R7" s="359"/>
      <c r="S7" s="359"/>
      <c r="T7" s="359"/>
      <c r="U7" s="359"/>
      <c r="V7" s="359"/>
      <c r="W7" s="359"/>
      <c r="X7" s="359"/>
      <c r="Y7" s="359"/>
      <c r="Z7" s="359"/>
      <c r="AA7" s="359"/>
      <c r="AB7" s="360"/>
    </row>
    <row r="8" spans="1:28">
      <c r="A8" s="145"/>
      <c r="B8" s="147"/>
      <c r="C8" s="147"/>
      <c r="D8" s="147"/>
      <c r="E8" s="358"/>
      <c r="F8" s="359"/>
      <c r="G8" s="359"/>
      <c r="H8" s="359"/>
      <c r="I8" s="359"/>
      <c r="J8" s="359"/>
      <c r="K8" s="359"/>
      <c r="L8" s="359"/>
      <c r="M8" s="359"/>
      <c r="N8" s="359"/>
      <c r="O8" s="359"/>
      <c r="P8" s="359"/>
      <c r="Q8" s="359"/>
      <c r="R8" s="359"/>
      <c r="S8" s="359"/>
      <c r="T8" s="359"/>
      <c r="U8" s="359"/>
      <c r="V8" s="359"/>
      <c r="W8" s="359"/>
      <c r="X8" s="359"/>
      <c r="Y8" s="359"/>
      <c r="Z8" s="359"/>
      <c r="AA8" s="359"/>
      <c r="AB8" s="360"/>
    </row>
    <row r="9" spans="1:28">
      <c r="A9" s="145"/>
      <c r="B9" s="147"/>
      <c r="C9" s="147"/>
      <c r="D9" s="147"/>
      <c r="E9" s="358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  <c r="R9" s="359"/>
      <c r="S9" s="359"/>
      <c r="T9" s="359"/>
      <c r="U9" s="359"/>
      <c r="V9" s="359"/>
      <c r="W9" s="359"/>
      <c r="X9" s="359"/>
      <c r="Y9" s="359"/>
      <c r="Z9" s="359"/>
      <c r="AA9" s="359"/>
      <c r="AB9" s="360"/>
    </row>
    <row r="10" spans="1:28">
      <c r="A10" s="145"/>
      <c r="B10" s="147"/>
      <c r="C10" s="147"/>
      <c r="D10" s="147"/>
      <c r="E10" s="358"/>
      <c r="F10" s="359"/>
      <c r="G10" s="359"/>
      <c r="H10" s="359"/>
      <c r="I10" s="359"/>
      <c r="J10" s="359"/>
      <c r="K10" s="359"/>
      <c r="L10" s="359"/>
      <c r="M10" s="359"/>
      <c r="N10" s="359"/>
      <c r="O10" s="359"/>
      <c r="P10" s="359"/>
      <c r="Q10" s="359"/>
      <c r="R10" s="359"/>
      <c r="S10" s="359"/>
      <c r="T10" s="359"/>
      <c r="U10" s="359"/>
      <c r="V10" s="359"/>
      <c r="W10" s="359"/>
      <c r="X10" s="359"/>
      <c r="Y10" s="359"/>
      <c r="Z10" s="359"/>
      <c r="AA10" s="359"/>
      <c r="AB10" s="360"/>
    </row>
    <row r="11" spans="1:28">
      <c r="A11" s="145"/>
      <c r="B11" s="147"/>
      <c r="C11" s="147"/>
      <c r="D11" s="147"/>
      <c r="E11" s="358"/>
      <c r="F11" s="359"/>
      <c r="G11" s="359"/>
      <c r="H11" s="359"/>
      <c r="I11" s="359"/>
      <c r="J11" s="359"/>
      <c r="K11" s="359"/>
      <c r="L11" s="359"/>
      <c r="M11" s="359"/>
      <c r="N11" s="359"/>
      <c r="O11" s="359"/>
      <c r="P11" s="359"/>
      <c r="Q11" s="359"/>
      <c r="R11" s="359"/>
      <c r="S11" s="359"/>
      <c r="T11" s="359"/>
      <c r="U11" s="359"/>
      <c r="V11" s="359"/>
      <c r="W11" s="359"/>
      <c r="X11" s="359"/>
      <c r="Y11" s="359"/>
      <c r="Z11" s="359"/>
      <c r="AA11" s="359"/>
      <c r="AB11" s="360"/>
    </row>
    <row r="12" spans="1:28">
      <c r="A12" s="145"/>
      <c r="B12" s="147"/>
      <c r="C12" s="147"/>
      <c r="D12" s="147"/>
      <c r="E12" s="358"/>
      <c r="F12" s="359"/>
      <c r="G12" s="359"/>
      <c r="H12" s="359"/>
      <c r="I12" s="359"/>
      <c r="J12" s="359"/>
      <c r="K12" s="359"/>
      <c r="L12" s="359"/>
      <c r="M12" s="359"/>
      <c r="N12" s="359"/>
      <c r="O12" s="359"/>
      <c r="P12" s="359"/>
      <c r="Q12" s="359"/>
      <c r="R12" s="359"/>
      <c r="S12" s="359"/>
      <c r="T12" s="359"/>
      <c r="U12" s="359"/>
      <c r="V12" s="359"/>
      <c r="W12" s="359"/>
      <c r="X12" s="359"/>
      <c r="Y12" s="359"/>
      <c r="Z12" s="359"/>
      <c r="AA12" s="359"/>
      <c r="AB12" s="360"/>
    </row>
    <row r="13" spans="1:28">
      <c r="A13" s="145"/>
      <c r="B13" s="147"/>
      <c r="C13" s="147"/>
      <c r="D13" s="147"/>
      <c r="E13" s="358"/>
      <c r="F13" s="359"/>
      <c r="G13" s="359"/>
      <c r="H13" s="359"/>
      <c r="I13" s="359"/>
      <c r="J13" s="359"/>
      <c r="K13" s="359"/>
      <c r="L13" s="359"/>
      <c r="M13" s="359"/>
      <c r="N13" s="359"/>
      <c r="O13" s="359"/>
      <c r="P13" s="359"/>
      <c r="Q13" s="359"/>
      <c r="R13" s="359"/>
      <c r="S13" s="359"/>
      <c r="T13" s="359"/>
      <c r="U13" s="359"/>
      <c r="V13" s="359"/>
      <c r="W13" s="359"/>
      <c r="X13" s="359"/>
      <c r="Y13" s="359"/>
      <c r="Z13" s="359"/>
      <c r="AA13" s="359"/>
      <c r="AB13" s="360"/>
    </row>
    <row r="14" spans="1:28">
      <c r="A14" s="145"/>
      <c r="B14" s="147"/>
      <c r="C14" s="147"/>
      <c r="D14" s="147"/>
      <c r="E14" s="358"/>
      <c r="F14" s="359"/>
      <c r="G14" s="359"/>
      <c r="H14" s="359"/>
      <c r="I14" s="359"/>
      <c r="J14" s="359"/>
      <c r="K14" s="359"/>
      <c r="L14" s="359"/>
      <c r="M14" s="359"/>
      <c r="N14" s="359"/>
      <c r="O14" s="359"/>
      <c r="P14" s="359"/>
      <c r="Q14" s="359"/>
      <c r="R14" s="359"/>
      <c r="S14" s="359"/>
      <c r="T14" s="359"/>
      <c r="U14" s="359"/>
      <c r="V14" s="359"/>
      <c r="W14" s="359"/>
      <c r="X14" s="359"/>
      <c r="Y14" s="359"/>
      <c r="Z14" s="359"/>
      <c r="AA14" s="359"/>
      <c r="AB14" s="360"/>
    </row>
    <row r="15" spans="1:28">
      <c r="A15" s="145"/>
      <c r="B15" s="147"/>
      <c r="C15" s="147"/>
      <c r="D15" s="147"/>
      <c r="E15" s="358"/>
      <c r="F15" s="359"/>
      <c r="G15" s="359"/>
      <c r="H15" s="359"/>
      <c r="I15" s="359"/>
      <c r="J15" s="359"/>
      <c r="K15" s="359"/>
      <c r="L15" s="359"/>
      <c r="M15" s="359"/>
      <c r="N15" s="359"/>
      <c r="O15" s="359"/>
      <c r="P15" s="359"/>
      <c r="Q15" s="359"/>
      <c r="R15" s="359"/>
      <c r="S15" s="359"/>
      <c r="T15" s="359"/>
      <c r="U15" s="359"/>
      <c r="V15" s="359"/>
      <c r="W15" s="359"/>
      <c r="X15" s="359"/>
      <c r="Y15" s="359"/>
      <c r="Z15" s="359"/>
      <c r="AA15" s="359"/>
      <c r="AB15" s="360"/>
    </row>
    <row r="16" spans="1:28">
      <c r="A16" s="145"/>
      <c r="B16" s="147"/>
      <c r="C16" s="147"/>
      <c r="D16" s="147"/>
      <c r="E16" s="358"/>
      <c r="F16" s="359"/>
      <c r="G16" s="359"/>
      <c r="H16" s="359"/>
      <c r="I16" s="359"/>
      <c r="J16" s="359"/>
      <c r="K16" s="359"/>
      <c r="L16" s="359"/>
      <c r="M16" s="359"/>
      <c r="N16" s="359"/>
      <c r="O16" s="359"/>
      <c r="P16" s="359"/>
      <c r="Q16" s="359"/>
      <c r="R16" s="359"/>
      <c r="S16" s="359"/>
      <c r="T16" s="359"/>
      <c r="U16" s="359"/>
      <c r="V16" s="359"/>
      <c r="W16" s="359"/>
      <c r="X16" s="359"/>
      <c r="Y16" s="359"/>
      <c r="Z16" s="359"/>
      <c r="AA16" s="359"/>
      <c r="AB16" s="360"/>
    </row>
    <row r="17" spans="1:28">
      <c r="A17" s="145"/>
      <c r="B17" s="147"/>
      <c r="C17" s="147"/>
      <c r="D17" s="147"/>
      <c r="E17" s="358"/>
      <c r="F17" s="359"/>
      <c r="G17" s="359"/>
      <c r="H17" s="359"/>
      <c r="I17" s="359"/>
      <c r="J17" s="359"/>
      <c r="K17" s="359"/>
      <c r="L17" s="359"/>
      <c r="M17" s="359"/>
      <c r="N17" s="359"/>
      <c r="O17" s="359"/>
      <c r="P17" s="359"/>
      <c r="Q17" s="359"/>
      <c r="R17" s="359"/>
      <c r="S17" s="359"/>
      <c r="T17" s="359"/>
      <c r="U17" s="359"/>
      <c r="V17" s="359"/>
      <c r="W17" s="359"/>
      <c r="X17" s="359"/>
      <c r="Y17" s="359"/>
      <c r="Z17" s="359"/>
      <c r="AA17" s="359"/>
      <c r="AB17" s="360"/>
    </row>
    <row r="18" spans="1:28">
      <c r="A18" s="145"/>
      <c r="B18" s="147"/>
      <c r="C18" s="147"/>
      <c r="D18" s="147"/>
      <c r="E18" s="358"/>
      <c r="F18" s="359"/>
      <c r="G18" s="359"/>
      <c r="H18" s="359"/>
      <c r="I18" s="359"/>
      <c r="J18" s="359"/>
      <c r="K18" s="359"/>
      <c r="L18" s="359"/>
      <c r="M18" s="359"/>
      <c r="N18" s="359"/>
      <c r="O18" s="359"/>
      <c r="P18" s="359"/>
      <c r="Q18" s="359"/>
      <c r="R18" s="359"/>
      <c r="S18" s="359"/>
      <c r="T18" s="359"/>
      <c r="U18" s="359"/>
      <c r="V18" s="359"/>
      <c r="W18" s="359"/>
      <c r="X18" s="359"/>
      <c r="Y18" s="359"/>
      <c r="Z18" s="359"/>
      <c r="AA18" s="359"/>
      <c r="AB18" s="360"/>
    </row>
    <row r="19" spans="1:28">
      <c r="A19" s="145"/>
      <c r="B19" s="147"/>
      <c r="C19" s="147"/>
      <c r="D19" s="147"/>
      <c r="E19" s="358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 s="359"/>
      <c r="Q19" s="359"/>
      <c r="R19" s="359"/>
      <c r="S19" s="359"/>
      <c r="T19" s="359"/>
      <c r="U19" s="359"/>
      <c r="V19" s="359"/>
      <c r="W19" s="359"/>
      <c r="X19" s="359"/>
      <c r="Y19" s="359"/>
      <c r="Z19" s="359"/>
      <c r="AA19" s="359"/>
      <c r="AB19" s="360"/>
    </row>
    <row r="20" spans="1:28">
      <c r="A20" s="145"/>
      <c r="B20" s="147"/>
      <c r="C20" s="147"/>
      <c r="D20" s="147"/>
      <c r="E20" s="358"/>
      <c r="F20" s="359"/>
      <c r="G20" s="359"/>
      <c r="H20" s="359"/>
      <c r="I20" s="359"/>
      <c r="J20" s="359"/>
      <c r="K20" s="359"/>
      <c r="L20" s="359"/>
      <c r="M20" s="359"/>
      <c r="N20" s="359"/>
      <c r="O20" s="359"/>
      <c r="P20" s="359"/>
      <c r="Q20" s="359"/>
      <c r="R20" s="359"/>
      <c r="S20" s="359"/>
      <c r="T20" s="359"/>
      <c r="U20" s="359"/>
      <c r="V20" s="359"/>
      <c r="W20" s="359"/>
      <c r="X20" s="359"/>
      <c r="Y20" s="359"/>
      <c r="Z20" s="359"/>
      <c r="AA20" s="359"/>
      <c r="AB20" s="360"/>
    </row>
    <row r="21" spans="1:28">
      <c r="A21" s="145"/>
      <c r="B21" s="147"/>
      <c r="C21" s="147"/>
      <c r="D21" s="147"/>
      <c r="E21" s="358"/>
      <c r="F21" s="359"/>
      <c r="G21" s="359"/>
      <c r="H21" s="359"/>
      <c r="I21" s="359"/>
      <c r="J21" s="359"/>
      <c r="K21" s="359"/>
      <c r="L21" s="359"/>
      <c r="M21" s="359"/>
      <c r="N21" s="359"/>
      <c r="O21" s="359"/>
      <c r="P21" s="359"/>
      <c r="Q21" s="359"/>
      <c r="R21" s="359"/>
      <c r="S21" s="359"/>
      <c r="T21" s="359"/>
      <c r="U21" s="359"/>
      <c r="V21" s="359"/>
      <c r="W21" s="359"/>
      <c r="X21" s="359"/>
      <c r="Y21" s="359"/>
      <c r="Z21" s="359"/>
      <c r="AA21" s="359"/>
      <c r="AB21" s="360"/>
    </row>
    <row r="22" spans="1:28">
      <c r="A22" s="145"/>
      <c r="B22" s="147"/>
      <c r="C22" s="147"/>
      <c r="D22" s="147"/>
      <c r="E22" s="358"/>
      <c r="F22" s="359"/>
      <c r="G22" s="359"/>
      <c r="H22" s="359"/>
      <c r="I22" s="359"/>
      <c r="J22" s="359"/>
      <c r="K22" s="359"/>
      <c r="L22" s="359"/>
      <c r="M22" s="359"/>
      <c r="N22" s="359"/>
      <c r="O22" s="359"/>
      <c r="P22" s="359"/>
      <c r="Q22" s="359"/>
      <c r="R22" s="359"/>
      <c r="S22" s="359"/>
      <c r="T22" s="359"/>
      <c r="U22" s="359"/>
      <c r="V22" s="359"/>
      <c r="W22" s="359"/>
      <c r="X22" s="359"/>
      <c r="Y22" s="359"/>
      <c r="Z22" s="359"/>
      <c r="AA22" s="359"/>
      <c r="AB22" s="360"/>
    </row>
    <row r="23" spans="1:28">
      <c r="A23" s="145"/>
      <c r="B23" s="147"/>
      <c r="C23" s="147"/>
      <c r="D23" s="147"/>
      <c r="E23" s="358"/>
      <c r="F23" s="359"/>
      <c r="G23" s="359"/>
      <c r="H23" s="359"/>
      <c r="I23" s="359"/>
      <c r="J23" s="359"/>
      <c r="K23" s="359"/>
      <c r="L23" s="359"/>
      <c r="M23" s="359"/>
      <c r="N23" s="359"/>
      <c r="O23" s="359"/>
      <c r="P23" s="359"/>
      <c r="Q23" s="359"/>
      <c r="R23" s="359"/>
      <c r="S23" s="359"/>
      <c r="T23" s="359"/>
      <c r="U23" s="359"/>
      <c r="V23" s="359"/>
      <c r="W23" s="359"/>
      <c r="X23" s="359"/>
      <c r="Y23" s="359"/>
      <c r="Z23" s="359"/>
      <c r="AA23" s="359"/>
      <c r="AB23" s="360"/>
    </row>
    <row r="24" spans="1:28">
      <c r="A24" s="145"/>
      <c r="B24" s="147"/>
      <c r="C24" s="147"/>
      <c r="D24" s="147"/>
      <c r="E24" s="358"/>
      <c r="F24" s="359"/>
      <c r="G24" s="359"/>
      <c r="H24" s="359"/>
      <c r="I24" s="359"/>
      <c r="J24" s="359"/>
      <c r="K24" s="359"/>
      <c r="L24" s="359"/>
      <c r="M24" s="359"/>
      <c r="N24" s="359"/>
      <c r="O24" s="359"/>
      <c r="P24" s="359"/>
      <c r="Q24" s="359"/>
      <c r="R24" s="359"/>
      <c r="S24" s="359"/>
      <c r="T24" s="359"/>
      <c r="U24" s="359"/>
      <c r="V24" s="359"/>
      <c r="W24" s="359"/>
      <c r="X24" s="359"/>
      <c r="Y24" s="359"/>
      <c r="Z24" s="359"/>
      <c r="AA24" s="359"/>
      <c r="AB24" s="360"/>
    </row>
    <row r="25" spans="1:28">
      <c r="A25" s="145"/>
      <c r="B25" s="147"/>
      <c r="C25" s="147"/>
      <c r="D25" s="147"/>
      <c r="E25" s="358"/>
      <c r="F25" s="359"/>
      <c r="G25" s="359"/>
      <c r="H25" s="359"/>
      <c r="I25" s="359"/>
      <c r="J25" s="359"/>
      <c r="K25" s="359"/>
      <c r="L25" s="359"/>
      <c r="M25" s="359"/>
      <c r="N25" s="359"/>
      <c r="O25" s="359"/>
      <c r="P25" s="359"/>
      <c r="Q25" s="359"/>
      <c r="R25" s="359"/>
      <c r="S25" s="359"/>
      <c r="T25" s="359"/>
      <c r="U25" s="359"/>
      <c r="V25" s="359"/>
      <c r="W25" s="359"/>
      <c r="X25" s="359"/>
      <c r="Y25" s="359"/>
      <c r="Z25" s="359"/>
      <c r="AA25" s="359"/>
      <c r="AB25" s="360"/>
    </row>
    <row r="26" spans="1:28">
      <c r="A26" s="145"/>
      <c r="B26" s="147"/>
      <c r="C26" s="147"/>
      <c r="D26" s="147"/>
      <c r="E26" s="358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  <c r="R26" s="359"/>
      <c r="S26" s="359"/>
      <c r="T26" s="359"/>
      <c r="U26" s="359"/>
      <c r="V26" s="359"/>
      <c r="W26" s="359"/>
      <c r="X26" s="359"/>
      <c r="Y26" s="359"/>
      <c r="Z26" s="359"/>
      <c r="AA26" s="359"/>
      <c r="AB26" s="360"/>
    </row>
    <row r="27" spans="1:28">
      <c r="A27" s="145"/>
      <c r="B27" s="147"/>
      <c r="C27" s="147"/>
      <c r="D27" s="147"/>
      <c r="E27" s="358"/>
      <c r="F27" s="359"/>
      <c r="G27" s="359"/>
      <c r="H27" s="359"/>
      <c r="I27" s="359"/>
      <c r="J27" s="359"/>
      <c r="K27" s="359"/>
      <c r="L27" s="359"/>
      <c r="M27" s="359"/>
      <c r="N27" s="359"/>
      <c r="O27" s="359"/>
      <c r="P27" s="359"/>
      <c r="Q27" s="359"/>
      <c r="R27" s="359"/>
      <c r="S27" s="359"/>
      <c r="T27" s="359"/>
      <c r="U27" s="359"/>
      <c r="V27" s="359"/>
      <c r="W27" s="359"/>
      <c r="X27" s="359"/>
      <c r="Y27" s="359"/>
      <c r="Z27" s="359"/>
      <c r="AA27" s="359"/>
      <c r="AB27" s="360"/>
    </row>
    <row r="28" spans="1:28">
      <c r="A28" s="145"/>
      <c r="B28" s="147"/>
      <c r="C28" s="147"/>
      <c r="D28" s="147"/>
      <c r="E28" s="358"/>
      <c r="F28" s="359"/>
      <c r="G28" s="359"/>
      <c r="H28" s="359"/>
      <c r="I28" s="359"/>
      <c r="J28" s="359"/>
      <c r="K28" s="359"/>
      <c r="L28" s="359"/>
      <c r="M28" s="359"/>
      <c r="N28" s="359"/>
      <c r="O28" s="359"/>
      <c r="P28" s="359"/>
      <c r="Q28" s="359"/>
      <c r="R28" s="359"/>
      <c r="S28" s="359"/>
      <c r="T28" s="359"/>
      <c r="U28" s="359"/>
      <c r="V28" s="359"/>
      <c r="W28" s="359"/>
      <c r="X28" s="359"/>
      <c r="Y28" s="359"/>
      <c r="Z28" s="359"/>
      <c r="AA28" s="359"/>
      <c r="AB28" s="360"/>
    </row>
    <row r="29" spans="1:28">
      <c r="A29" s="145"/>
      <c r="B29" s="147"/>
      <c r="C29" s="147"/>
      <c r="D29" s="147"/>
      <c r="E29" s="358"/>
      <c r="F29" s="359"/>
      <c r="G29" s="359"/>
      <c r="H29" s="359"/>
      <c r="I29" s="359"/>
      <c r="J29" s="359"/>
      <c r="K29" s="359"/>
      <c r="L29" s="359"/>
      <c r="M29" s="359"/>
      <c r="N29" s="359"/>
      <c r="O29" s="359"/>
      <c r="P29" s="359"/>
      <c r="Q29" s="359"/>
      <c r="R29" s="359"/>
      <c r="S29" s="359"/>
      <c r="T29" s="359"/>
      <c r="U29" s="359"/>
      <c r="V29" s="359"/>
      <c r="W29" s="359"/>
      <c r="X29" s="359"/>
      <c r="Y29" s="359"/>
      <c r="Z29" s="359"/>
      <c r="AA29" s="359"/>
      <c r="AB29" s="360"/>
    </row>
    <row r="30" spans="1:28">
      <c r="A30" s="145"/>
      <c r="B30" s="147"/>
      <c r="C30" s="147"/>
      <c r="D30" s="147"/>
      <c r="E30" s="358"/>
      <c r="F30" s="359"/>
      <c r="G30" s="359"/>
      <c r="H30" s="359"/>
      <c r="I30" s="359"/>
      <c r="J30" s="359"/>
      <c r="K30" s="359"/>
      <c r="L30" s="359"/>
      <c r="M30" s="359"/>
      <c r="N30" s="359"/>
      <c r="O30" s="359"/>
      <c r="P30" s="359"/>
      <c r="Q30" s="359"/>
      <c r="R30" s="359"/>
      <c r="S30" s="359"/>
      <c r="T30" s="359"/>
      <c r="U30" s="359"/>
      <c r="V30" s="359"/>
      <c r="W30" s="359"/>
      <c r="X30" s="359"/>
      <c r="Y30" s="359"/>
      <c r="Z30" s="359"/>
      <c r="AA30" s="359"/>
      <c r="AB30" s="360"/>
    </row>
    <row r="31" spans="1:28">
      <c r="A31" s="145"/>
      <c r="B31" s="147"/>
      <c r="C31" s="147"/>
      <c r="D31" s="147"/>
      <c r="E31" s="358"/>
      <c r="F31" s="359"/>
      <c r="G31" s="359"/>
      <c r="H31" s="359"/>
      <c r="I31" s="359"/>
      <c r="J31" s="359"/>
      <c r="K31" s="359"/>
      <c r="L31" s="359"/>
      <c r="M31" s="359"/>
      <c r="N31" s="359"/>
      <c r="O31" s="359"/>
      <c r="P31" s="359"/>
      <c r="Q31" s="359"/>
      <c r="R31" s="359"/>
      <c r="S31" s="359"/>
      <c r="T31" s="359"/>
      <c r="U31" s="359"/>
      <c r="V31" s="359"/>
      <c r="W31" s="359"/>
      <c r="X31" s="359"/>
      <c r="Y31" s="359"/>
      <c r="Z31" s="359"/>
      <c r="AA31" s="359"/>
      <c r="AB31" s="360"/>
    </row>
    <row r="32" spans="1:28">
      <c r="A32" s="145"/>
      <c r="B32" s="147"/>
      <c r="C32" s="147"/>
      <c r="D32" s="147"/>
      <c r="E32" s="358"/>
      <c r="F32" s="359"/>
      <c r="G32" s="359"/>
      <c r="H32" s="359"/>
      <c r="I32" s="359"/>
      <c r="J32" s="359"/>
      <c r="K32" s="359"/>
      <c r="L32" s="359"/>
      <c r="M32" s="359"/>
      <c r="N32" s="359"/>
      <c r="O32" s="359"/>
      <c r="P32" s="359"/>
      <c r="Q32" s="359"/>
      <c r="R32" s="359"/>
      <c r="S32" s="359"/>
      <c r="T32" s="359"/>
      <c r="U32" s="359"/>
      <c r="V32" s="359"/>
      <c r="W32" s="359"/>
      <c r="X32" s="359"/>
      <c r="Y32" s="359"/>
      <c r="Z32" s="359"/>
      <c r="AA32" s="359"/>
      <c r="AB32" s="360"/>
    </row>
    <row r="33" spans="1:28">
      <c r="A33" s="145"/>
      <c r="B33" s="147"/>
      <c r="C33" s="147"/>
      <c r="D33" s="147"/>
      <c r="E33" s="358"/>
      <c r="F33" s="359"/>
      <c r="G33" s="359"/>
      <c r="H33" s="359"/>
      <c r="I33" s="359"/>
      <c r="J33" s="359"/>
      <c r="K33" s="359"/>
      <c r="L33" s="359"/>
      <c r="M33" s="359"/>
      <c r="N33" s="359"/>
      <c r="O33" s="359"/>
      <c r="P33" s="359"/>
      <c r="Q33" s="359"/>
      <c r="R33" s="359"/>
      <c r="S33" s="359"/>
      <c r="T33" s="359"/>
      <c r="U33" s="359"/>
      <c r="V33" s="359"/>
      <c r="W33" s="359"/>
      <c r="X33" s="359"/>
      <c r="Y33" s="359"/>
      <c r="Z33" s="359"/>
      <c r="AA33" s="359"/>
      <c r="AB33" s="360"/>
    </row>
    <row r="34" spans="1:28">
      <c r="A34" s="145"/>
      <c r="B34" s="147"/>
      <c r="C34" s="147"/>
      <c r="D34" s="147"/>
      <c r="E34" s="358"/>
      <c r="F34" s="359"/>
      <c r="G34" s="359"/>
      <c r="H34" s="359"/>
      <c r="I34" s="359"/>
      <c r="J34" s="359"/>
      <c r="K34" s="359"/>
      <c r="L34" s="359"/>
      <c r="M34" s="359"/>
      <c r="N34" s="359"/>
      <c r="O34" s="359"/>
      <c r="P34" s="359"/>
      <c r="Q34" s="359"/>
      <c r="R34" s="359"/>
      <c r="S34" s="359"/>
      <c r="T34" s="359"/>
      <c r="U34" s="359"/>
      <c r="V34" s="359"/>
      <c r="W34" s="359"/>
      <c r="X34" s="359"/>
      <c r="Y34" s="359"/>
      <c r="Z34" s="359"/>
      <c r="AA34" s="359"/>
      <c r="AB34" s="360"/>
    </row>
    <row r="35" spans="1:28">
      <c r="A35" s="145"/>
      <c r="B35" s="147"/>
      <c r="C35" s="147"/>
      <c r="D35" s="147"/>
      <c r="E35" s="358"/>
      <c r="F35" s="359"/>
      <c r="G35" s="359"/>
      <c r="H35" s="359"/>
      <c r="I35" s="359"/>
      <c r="J35" s="359"/>
      <c r="K35" s="359"/>
      <c r="L35" s="359"/>
      <c r="M35" s="359"/>
      <c r="N35" s="359"/>
      <c r="O35" s="359"/>
      <c r="P35" s="359"/>
      <c r="Q35" s="359"/>
      <c r="R35" s="359"/>
      <c r="S35" s="359"/>
      <c r="T35" s="359"/>
      <c r="U35" s="359"/>
      <c r="V35" s="359"/>
      <c r="W35" s="359"/>
      <c r="X35" s="359"/>
      <c r="Y35" s="359"/>
      <c r="Z35" s="359"/>
      <c r="AA35" s="359"/>
      <c r="AB35" s="360"/>
    </row>
    <row r="36" spans="1:28">
      <c r="A36" s="145"/>
      <c r="B36" s="147"/>
      <c r="C36" s="147"/>
      <c r="D36" s="147"/>
      <c r="E36" s="358"/>
      <c r="F36" s="359"/>
      <c r="G36" s="359"/>
      <c r="H36" s="359"/>
      <c r="I36" s="359"/>
      <c r="J36" s="359"/>
      <c r="K36" s="359"/>
      <c r="L36" s="359"/>
      <c r="M36" s="359"/>
      <c r="N36" s="359"/>
      <c r="O36" s="359"/>
      <c r="P36" s="359"/>
      <c r="Q36" s="359"/>
      <c r="R36" s="359"/>
      <c r="S36" s="359"/>
      <c r="T36" s="359"/>
      <c r="U36" s="359"/>
      <c r="V36" s="359"/>
      <c r="W36" s="359"/>
      <c r="X36" s="359"/>
      <c r="Y36" s="359"/>
      <c r="Z36" s="359"/>
      <c r="AA36" s="359"/>
      <c r="AB36" s="360"/>
    </row>
    <row r="37" spans="1:28">
      <c r="A37" s="145"/>
      <c r="B37" s="147"/>
      <c r="C37" s="147"/>
      <c r="D37" s="147"/>
      <c r="E37" s="358"/>
      <c r="F37" s="359"/>
      <c r="G37" s="359"/>
      <c r="H37" s="359"/>
      <c r="I37" s="359"/>
      <c r="J37" s="359"/>
      <c r="K37" s="359"/>
      <c r="L37" s="359"/>
      <c r="M37" s="359"/>
      <c r="N37" s="359"/>
      <c r="O37" s="359"/>
      <c r="P37" s="359"/>
      <c r="Q37" s="359"/>
      <c r="R37" s="359"/>
      <c r="S37" s="359"/>
      <c r="T37" s="359"/>
      <c r="U37" s="359"/>
      <c r="V37" s="359"/>
      <c r="W37" s="359"/>
      <c r="X37" s="359"/>
      <c r="Y37" s="359"/>
      <c r="Z37" s="359"/>
      <c r="AA37" s="359"/>
      <c r="AB37" s="360"/>
    </row>
    <row r="38" spans="1:28" ht="19.5" thickBot="1">
      <c r="A38" s="148"/>
      <c r="B38" s="149"/>
      <c r="C38" s="150"/>
      <c r="D38" s="149"/>
      <c r="E38" s="361"/>
      <c r="F38" s="362"/>
      <c r="G38" s="362"/>
      <c r="H38" s="362"/>
      <c r="I38" s="362"/>
      <c r="J38" s="362"/>
      <c r="K38" s="362"/>
      <c r="L38" s="362"/>
      <c r="M38" s="362"/>
      <c r="N38" s="362"/>
      <c r="O38" s="362"/>
      <c r="P38" s="362"/>
      <c r="Q38" s="362"/>
      <c r="R38" s="362"/>
      <c r="S38" s="362"/>
      <c r="T38" s="362"/>
      <c r="U38" s="362"/>
      <c r="V38" s="362"/>
      <c r="W38" s="362"/>
      <c r="X38" s="362"/>
      <c r="Y38" s="362"/>
      <c r="Z38" s="362"/>
      <c r="AA38" s="362"/>
      <c r="AB38" s="363"/>
    </row>
  </sheetData>
  <mergeCells count="38">
    <mergeCell ref="E6:AB6"/>
    <mergeCell ref="A3:C4"/>
    <mergeCell ref="E3:J3"/>
    <mergeCell ref="K3:AB3"/>
    <mergeCell ref="E4:J4"/>
    <mergeCell ref="K4:AB4"/>
    <mergeCell ref="E18:AB18"/>
    <mergeCell ref="E7:AB7"/>
    <mergeCell ref="E8:AB8"/>
    <mergeCell ref="E9:AB9"/>
    <mergeCell ref="E10:AB10"/>
    <mergeCell ref="E11:AB11"/>
    <mergeCell ref="E12:AB12"/>
    <mergeCell ref="E13:AB13"/>
    <mergeCell ref="E14:AB14"/>
    <mergeCell ref="E15:AB15"/>
    <mergeCell ref="E16:AB16"/>
    <mergeCell ref="E17:AB17"/>
    <mergeCell ref="E30:AB30"/>
    <mergeCell ref="E19:AB19"/>
    <mergeCell ref="E20:AB20"/>
    <mergeCell ref="E21:AB21"/>
    <mergeCell ref="E22:AB22"/>
    <mergeCell ref="E23:AB23"/>
    <mergeCell ref="E24:AB24"/>
    <mergeCell ref="E25:AB25"/>
    <mergeCell ref="E26:AB26"/>
    <mergeCell ref="E27:AB27"/>
    <mergeCell ref="E28:AB28"/>
    <mergeCell ref="E29:AB29"/>
    <mergeCell ref="E37:AB37"/>
    <mergeCell ref="E38:AB38"/>
    <mergeCell ref="E31:AB31"/>
    <mergeCell ref="E32:AB32"/>
    <mergeCell ref="E33:AB33"/>
    <mergeCell ref="E34:AB34"/>
    <mergeCell ref="E35:AB35"/>
    <mergeCell ref="E36:AB36"/>
  </mergeCells>
  <phoneticPr fontId="6"/>
  <pageMargins left="0.7" right="0.7" top="0.75" bottom="0.75" header="0.3" footer="0.3"/>
  <pageSetup paperSize="9" scale="54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641DF6C8BE6174C9931224F8E26AB2F" ma:contentTypeVersion="11" ma:contentTypeDescription="新しいドキュメントを作成します。" ma:contentTypeScope="" ma:versionID="4f7b4c9173aacaf31a37639a1b1ffe3f">
  <xsd:schema xmlns:xsd="http://www.w3.org/2001/XMLSchema" xmlns:xs="http://www.w3.org/2001/XMLSchema" xmlns:p="http://schemas.microsoft.com/office/2006/metadata/properties" xmlns:ns2="f4188c96-7968-4acb-9bbb-8a0b588810c8" xmlns:ns3="58483dbd-2ae0-44ca-a79c-ce6710d17dd8" targetNamespace="http://schemas.microsoft.com/office/2006/metadata/properties" ma:root="true" ma:fieldsID="33098d552a60958e038c93a748d04b51" ns2:_="" ns3:_="">
    <xsd:import namespace="f4188c96-7968-4acb-9bbb-8a0b588810c8"/>
    <xsd:import namespace="58483dbd-2ae0-44ca-a79c-ce6710d17d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88c96-7968-4acb-9bbb-8a0b588810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f741c3b-bdaf-46ab-bb9b-abf2ea42b0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483dbd-2ae0-44ca-a79c-ce6710d17dd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100e850-8ef3-4b54-b02d-5fb1b1289fc8}" ma:internalName="TaxCatchAll" ma:showField="CatchAllData" ma:web="58483dbd-2ae0-44ca-a79c-ce6710d17d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4188c96-7968-4acb-9bbb-8a0b588810c8">
      <Terms xmlns="http://schemas.microsoft.com/office/infopath/2007/PartnerControls"/>
    </lcf76f155ced4ddcb4097134ff3c332f>
    <TaxCatchAll xmlns="58483dbd-2ae0-44ca-a79c-ce6710d17dd8" xsi:nil="true"/>
  </documentManagement>
</p:properties>
</file>

<file path=customXml/itemProps1.xml><?xml version="1.0" encoding="utf-8"?>
<ds:datastoreItem xmlns:ds="http://schemas.openxmlformats.org/officeDocument/2006/customXml" ds:itemID="{7375C43C-92D2-4938-B433-A63B817330B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DA312C-9725-4091-B963-59487F1117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188c96-7968-4acb-9bbb-8a0b588810c8"/>
    <ds:schemaRef ds:uri="58483dbd-2ae0-44ca-a79c-ce6710d17d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EF6F152-3F7B-49C9-A555-A834D464B270}">
  <ds:schemaRefs>
    <ds:schemaRef ds:uri="http://schemas.microsoft.com/office/2006/metadata/properties"/>
    <ds:schemaRef ds:uri="http://schemas.microsoft.com/office/infopath/2007/PartnerControls"/>
    <ds:schemaRef ds:uri="f4188c96-7968-4acb-9bbb-8a0b588810c8"/>
    <ds:schemaRef ds:uri="58483dbd-2ae0-44ca-a79c-ce6710d17dd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5</vt:i4>
      </vt:variant>
    </vt:vector>
  </HeadingPairs>
  <TitlesOfParts>
    <vt:vector size="14" baseType="lpstr">
      <vt:lpstr>表紙</vt:lpstr>
      <vt:lpstr>更新履歴</vt:lpstr>
      <vt:lpstr>バッチプロセスフロー</vt:lpstr>
      <vt:lpstr>バッチ処理概要定義書</vt:lpstr>
      <vt:lpstr>バッチ処理内容定義書</vt:lpstr>
      <vt:lpstr>データ項目更新仕様説明書</vt:lpstr>
      <vt:lpstr>【補足】バッチ年月仕様</vt:lpstr>
      <vt:lpstr>入力項目チェック仕様説明書</vt:lpstr>
      <vt:lpstr>処理結果一覧</vt:lpstr>
      <vt:lpstr>【補足】バッチ年月仕様!Print_Area</vt:lpstr>
      <vt:lpstr>バッチ処理概要定義書!Print_Area</vt:lpstr>
      <vt:lpstr>更新履歴!Print_Area</vt:lpstr>
      <vt:lpstr>表紙!Print_Area</vt:lpstr>
      <vt:lpstr>バッチ処理概要定義書!Print_Titles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戸谷 仁美</dc:creator>
  <cp:lastModifiedBy>下田 晃平</cp:lastModifiedBy>
  <cp:lastPrinted>2026-07-21T04:48:35Z</cp:lastPrinted>
  <dcterms:created xsi:type="dcterms:W3CDTF">2015-06-05T18:19:34Z</dcterms:created>
  <dcterms:modified xsi:type="dcterms:W3CDTF">2026-09-29T00:12:07Z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0x0101002641DF6C8BE6174C9931224F8E26AB2F</vt:lpwstr>
  </property>
  <property fmtid="{D5CDD505-2E9C-101B-9397-08002B2CF9AE}" pid="3" name="MediaServiceImageTags">
    <vt:lpwstr/>
  </property>
</Properties>
</file>